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ku\Downloads\"/>
    </mc:Choice>
  </mc:AlternateContent>
  <xr:revisionPtr revIDLastSave="0" documentId="13_ncr:1_{2A92C287-36DC-4DAC-9426-78AF4655FBB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triz RACI" sheetId="1" r:id="rId1"/>
  </sheets>
  <definedNames>
    <definedName name="_xlnm.Print_Area" localSheetId="0">'Matriz RACI'!$B$1:$M$38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5" i="1" l="1"/>
  <c r="L25" i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1" i="1"/>
  <c r="L21" i="1"/>
  <c r="K21" i="1"/>
  <c r="J21" i="1"/>
</calcChain>
</file>

<file path=xl/sharedStrings.xml><?xml version="1.0" encoding="utf-8"?>
<sst xmlns="http://schemas.openxmlformats.org/spreadsheetml/2006/main" count="213" uniqueCount="59">
  <si>
    <t>Matriz RACI — Rumbo SIMCE</t>
  </si>
  <si>
    <t>Tareas / Entregables</t>
  </si>
  <si>
    <t>Roles</t>
  </si>
  <si>
    <t>Rol</t>
  </si>
  <si>
    <t>Responsable</t>
  </si>
  <si>
    <t>Jefe de Proyecto y Backend</t>
  </si>
  <si>
    <t>Desarrollador Móvil</t>
  </si>
  <si>
    <t>Analista de Contenidos y QA</t>
  </si>
  <si>
    <t>Cliente / Product Owner</t>
  </si>
  <si>
    <t>Docente guía</t>
  </si>
  <si>
    <t>Leonardo Figueroa</t>
  </si>
  <si>
    <t>Fase 1 — Análisis y definición del proyecto</t>
  </si>
  <si>
    <t>Cristóbal Muñoz</t>
  </si>
  <si>
    <t>Reunión de levantamiento con el cliente</t>
  </si>
  <si>
    <t>AR</t>
  </si>
  <si>
    <t>R</t>
  </si>
  <si>
    <t>C</t>
  </si>
  <si>
    <t>I</t>
  </si>
  <si>
    <t>Nixy Silva</t>
  </si>
  <si>
    <t>Acta de levantamiento y validación del alcance</t>
  </si>
  <si>
    <t>Triskel Edu</t>
  </si>
  <si>
    <t>Definición de requerimientos funcionales y no funcionales</t>
  </si>
  <si>
    <t>A</t>
  </si>
  <si>
    <t>Informe de definición del proyecto APT</t>
  </si>
  <si>
    <t>Matriz de riesgo</t>
  </si>
  <si>
    <t>Plan de trabajo y carta Gantt</t>
  </si>
  <si>
    <t>Significado de las letras</t>
  </si>
  <si>
    <t>Definición y priorización del product backlog</t>
  </si>
  <si>
    <t>Responsable: ejecuta la tarea.</t>
  </si>
  <si>
    <t>Fase 2 — Diseño</t>
  </si>
  <si>
    <t>Aprueba: rinde cuentas del resultado. Solo uno por fila.</t>
  </si>
  <si>
    <t>Diseño de la arquitectura del sistema</t>
  </si>
  <si>
    <t>Consultado: se le pide opinión antes de decidir.</t>
  </si>
  <si>
    <t>Modelo entidad-relación</t>
  </si>
  <si>
    <t>Informado: se le comunica el resultado.</t>
  </si>
  <si>
    <t>Mockups y diseño UX/UI para público infantil</t>
  </si>
  <si>
    <t>Diseño de la progresión por niveles y umbrales de dominio</t>
  </si>
  <si>
    <t>Diseño de plantillas paramétricas por objetivo de aprendizaje</t>
  </si>
  <si>
    <t>Carga por rol</t>
  </si>
  <si>
    <t>Fase 2 — Construcción</t>
  </si>
  <si>
    <t>Implementación de la base de datos</t>
  </si>
  <si>
    <t>Generación del banco de ejercicios</t>
  </si>
  <si>
    <t>Revisión pedagógica y aprobación de enunciados</t>
  </si>
  <si>
    <t>Desarrollo de la API</t>
  </si>
  <si>
    <t>Desarrollo del motor adaptativo y de corrección</t>
  </si>
  <si>
    <t>Desarrollo de la aplicación móvil</t>
  </si>
  <si>
    <t>Desarrollo del panel de seguimiento</t>
  </si>
  <si>
    <t>Integración y despliegue en ambiente de pruebas</t>
  </si>
  <si>
    <t>Fase 2 — Pruebas y validación</t>
  </si>
  <si>
    <t>Diseño del plan de pruebas</t>
  </si>
  <si>
    <t>Ejecución de pruebas funcionales</t>
  </si>
  <si>
    <t>Validación con grupo de estudiantes</t>
  </si>
  <si>
    <t>Corrección de hallazgos</t>
  </si>
  <si>
    <t>Fase 3 — Cierre</t>
  </si>
  <si>
    <t>Despliegue de la versión final</t>
  </si>
  <si>
    <t>Informe final del proyecto</t>
  </si>
  <si>
    <t>Presentación de cierre al cliente</t>
  </si>
  <si>
    <t>Documentación de la API y manual de usuario</t>
  </si>
  <si>
    <t>Arturo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</si>
</sst>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color rgb="FF000000"/>
      <name val="Calibri"/>
      <charset val="1"/>
    </font>
    <font>
      <b/>
      <sz val="12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color rgb="FFFFFFFF"/>
      <name val="Calibri"/>
      <charset val="1"/>
    </font>
    <font>
      <b/>
      <sz val="12"/>
      <color rgb="FF1F4E46"/>
      <name val="Calibri"/>
      <charset val="1"/>
    </font>
    <font>
      <sz val="10"/>
      <color rgb="FF000000"/>
      <name val="Calibri"/>
      <charset val="1"/>
    </font>
    <font>
      <b/>
      <sz val="20"/>
      <color theme="1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6FA8DC"/>
        <bgColor rgb="FF969696"/>
      </patternFill>
    </fill>
    <fill>
      <patternFill patternType="solid">
        <fgColor rgb="FF9FC5E8"/>
        <bgColor rgb="FFB7C4CC"/>
      </patternFill>
    </fill>
    <fill>
      <patternFill patternType="solid">
        <fgColor rgb="FFD9EAD3"/>
        <bgColor rgb="FFCFE2F3"/>
      </patternFill>
    </fill>
    <fill>
      <patternFill patternType="solid">
        <fgColor rgb="FF3D6E8C"/>
        <bgColor rgb="FF339966"/>
      </patternFill>
    </fill>
    <fill>
      <patternFill patternType="solid">
        <fgColor rgb="FFFFF2CC"/>
        <bgColor rgb="FFFCE5CD"/>
      </patternFill>
    </fill>
    <fill>
      <patternFill patternType="solid">
        <fgColor rgb="FFCFE2F3"/>
        <bgColor rgb="FFD9EAD3"/>
      </patternFill>
    </fill>
    <fill>
      <patternFill patternType="solid">
        <fgColor rgb="FFFCE5CD"/>
        <bgColor rgb="FFFFF2CC"/>
      </patternFill>
    </fill>
    <fill>
      <patternFill patternType="solid">
        <fgColor rgb="FFFFFFFF"/>
        <bgColor rgb="FFF3F3F3"/>
      </patternFill>
    </fill>
    <fill>
      <patternFill patternType="solid">
        <fgColor rgb="FFF4CCCC"/>
        <bgColor rgb="FFFCE5CD"/>
      </patternFill>
    </fill>
    <fill>
      <patternFill patternType="solid">
        <fgColor rgb="FFF3F3F3"/>
        <bgColor rgb="FFFFFFFF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7" fillId="12" borderId="3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2" borderId="6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CC"/>
      <rgbColor rgb="FF808080"/>
      <rgbColor rgb="FF6FA8DC"/>
      <rgbColor rgb="FF993366"/>
      <rgbColor rgb="FFFFF2CC"/>
      <rgbColor rgb="FFF3F3F3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FC5E8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3D6E8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38"/>
  <sheetViews>
    <sheetView showGridLines="0" tabSelected="1" zoomScaleNormal="100" workbookViewId="0">
      <selection activeCell="K30" sqref="K30"/>
    </sheetView>
  </sheetViews>
  <sheetFormatPr defaultColWidth="8.7109375" defaultRowHeight="15" x14ac:dyDescent="0.25"/>
  <cols>
    <col min="1" max="1" width="2.42578125" customWidth="1"/>
    <col min="2" max="2" width="64.5703125" customWidth="1"/>
    <col min="3" max="7" width="19" customWidth="1"/>
    <col min="8" max="8" width="3" customWidth="1"/>
    <col min="9" max="9" width="30" customWidth="1"/>
    <col min="10" max="10" width="32" customWidth="1"/>
    <col min="11" max="13" width="7" customWidth="1"/>
  </cols>
  <sheetData>
    <row r="1" spans="2:10" ht="26.1" customHeight="1" x14ac:dyDescent="0.25">
      <c r="B1" s="16" t="s">
        <v>0</v>
      </c>
      <c r="C1" s="17"/>
      <c r="D1" s="17"/>
      <c r="E1" s="17"/>
      <c r="F1" s="17"/>
      <c r="G1" s="18"/>
    </row>
    <row r="2" spans="2:10" ht="15" customHeight="1" thickBot="1" x14ac:dyDescent="0.3">
      <c r="B2" s="19"/>
      <c r="C2" s="20"/>
      <c r="D2" s="20"/>
      <c r="E2" s="20"/>
      <c r="F2" s="20"/>
      <c r="G2" s="21"/>
    </row>
    <row r="3" spans="2:10" x14ac:dyDescent="0.25">
      <c r="B3" s="15"/>
      <c r="C3" s="15"/>
      <c r="D3" s="15"/>
      <c r="E3" s="15"/>
      <c r="F3" s="15"/>
      <c r="G3" s="15"/>
    </row>
    <row r="4" spans="2:10" ht="19.5" customHeight="1" x14ac:dyDescent="0.25">
      <c r="B4" s="13" t="s">
        <v>1</v>
      </c>
      <c r="C4" s="13" t="s">
        <v>2</v>
      </c>
      <c r="D4" s="13"/>
      <c r="E4" s="13"/>
      <c r="F4" s="13"/>
      <c r="G4" s="13"/>
      <c r="I4" s="2" t="s">
        <v>3</v>
      </c>
      <c r="J4" s="2" t="s">
        <v>4</v>
      </c>
    </row>
    <row r="5" spans="2:10" ht="33.75" customHeight="1" x14ac:dyDescent="0.25">
      <c r="B5" s="13"/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  <c r="I5" s="4" t="s">
        <v>5</v>
      </c>
      <c r="J5" s="4" t="s">
        <v>10</v>
      </c>
    </row>
    <row r="6" spans="2:10" ht="19.5" customHeight="1" x14ac:dyDescent="0.25">
      <c r="B6" s="22" t="s">
        <v>11</v>
      </c>
      <c r="C6" s="22"/>
      <c r="D6" s="22"/>
      <c r="E6" s="22"/>
      <c r="F6" s="22"/>
      <c r="G6" s="22"/>
      <c r="I6" s="5" t="s">
        <v>6</v>
      </c>
      <c r="J6" s="5" t="s">
        <v>12</v>
      </c>
    </row>
    <row r="7" spans="2:10" ht="25.5" customHeight="1" x14ac:dyDescent="0.25">
      <c r="B7" s="23" t="s">
        <v>13</v>
      </c>
      <c r="C7" s="24" t="s">
        <v>14</v>
      </c>
      <c r="D7" s="25" t="s">
        <v>15</v>
      </c>
      <c r="E7" s="25" t="s">
        <v>15</v>
      </c>
      <c r="F7" s="25" t="s">
        <v>16</v>
      </c>
      <c r="G7" s="25" t="s">
        <v>17</v>
      </c>
      <c r="I7" s="7" t="s">
        <v>7</v>
      </c>
      <c r="J7" s="7" t="s">
        <v>18</v>
      </c>
    </row>
    <row r="8" spans="2:10" ht="25.5" customHeight="1" x14ac:dyDescent="0.25">
      <c r="B8" s="26" t="s">
        <v>19</v>
      </c>
      <c r="C8" s="27" t="s">
        <v>14</v>
      </c>
      <c r="D8" s="28" t="s">
        <v>16</v>
      </c>
      <c r="E8" s="28" t="s">
        <v>16</v>
      </c>
      <c r="F8" s="28" t="s">
        <v>16</v>
      </c>
      <c r="G8" s="28" t="s">
        <v>17</v>
      </c>
      <c r="I8" s="8" t="s">
        <v>8</v>
      </c>
      <c r="J8" s="8" t="s">
        <v>20</v>
      </c>
    </row>
    <row r="9" spans="2:10" ht="25.5" customHeight="1" x14ac:dyDescent="0.25">
      <c r="B9" s="23" t="s">
        <v>21</v>
      </c>
      <c r="C9" s="24" t="s">
        <v>22</v>
      </c>
      <c r="D9" s="25" t="s">
        <v>15</v>
      </c>
      <c r="E9" s="25" t="s">
        <v>15</v>
      </c>
      <c r="F9" s="25" t="s">
        <v>16</v>
      </c>
      <c r="G9" s="25" t="s">
        <v>17</v>
      </c>
      <c r="I9" s="6" t="s">
        <v>9</v>
      </c>
      <c r="J9" s="29" t="s">
        <v>58</v>
      </c>
    </row>
    <row r="10" spans="2:10" ht="25.5" customHeight="1" x14ac:dyDescent="0.25">
      <c r="B10" s="26" t="s">
        <v>23</v>
      </c>
      <c r="C10" s="27" t="s">
        <v>14</v>
      </c>
      <c r="D10" s="28" t="s">
        <v>15</v>
      </c>
      <c r="E10" s="28" t="s">
        <v>15</v>
      </c>
      <c r="F10" s="28" t="s">
        <v>17</v>
      </c>
      <c r="G10" s="28" t="s">
        <v>16</v>
      </c>
    </row>
    <row r="11" spans="2:10" ht="25.5" customHeight="1" x14ac:dyDescent="0.25">
      <c r="B11" s="23" t="s">
        <v>24</v>
      </c>
      <c r="C11" s="24" t="s">
        <v>14</v>
      </c>
      <c r="D11" s="25" t="s">
        <v>16</v>
      </c>
      <c r="E11" s="25" t="s">
        <v>16</v>
      </c>
      <c r="F11" s="25" t="s">
        <v>17</v>
      </c>
      <c r="G11" s="25" t="s">
        <v>16</v>
      </c>
    </row>
    <row r="12" spans="2:10" ht="25.5" customHeight="1" x14ac:dyDescent="0.25">
      <c r="B12" s="26" t="s">
        <v>25</v>
      </c>
      <c r="C12" s="27" t="s">
        <v>14</v>
      </c>
      <c r="D12" s="28" t="s">
        <v>16</v>
      </c>
      <c r="E12" s="28" t="s">
        <v>16</v>
      </c>
      <c r="F12" s="28" t="s">
        <v>17</v>
      </c>
      <c r="G12" s="28" t="s">
        <v>16</v>
      </c>
      <c r="I12" s="9" t="s">
        <v>26</v>
      </c>
    </row>
    <row r="13" spans="2:10" ht="30" customHeight="1" x14ac:dyDescent="0.25">
      <c r="B13" s="23" t="s">
        <v>27</v>
      </c>
      <c r="C13" s="24" t="s">
        <v>14</v>
      </c>
      <c r="D13" s="25" t="s">
        <v>16</v>
      </c>
      <c r="E13" s="25" t="s">
        <v>16</v>
      </c>
      <c r="F13" s="25" t="s">
        <v>16</v>
      </c>
      <c r="G13" s="25" t="s">
        <v>17</v>
      </c>
      <c r="I13" s="10" t="s">
        <v>15</v>
      </c>
      <c r="J13" s="11" t="s">
        <v>28</v>
      </c>
    </row>
    <row r="14" spans="2:10" ht="30" customHeight="1" x14ac:dyDescent="0.25">
      <c r="B14" s="22" t="s">
        <v>29</v>
      </c>
      <c r="C14" s="22"/>
      <c r="D14" s="22"/>
      <c r="E14" s="22"/>
      <c r="F14" s="22"/>
      <c r="G14" s="22"/>
      <c r="I14" s="10" t="s">
        <v>22</v>
      </c>
      <c r="J14" s="11" t="s">
        <v>30</v>
      </c>
    </row>
    <row r="15" spans="2:10" ht="30" customHeight="1" x14ac:dyDescent="0.25">
      <c r="B15" s="23" t="s">
        <v>31</v>
      </c>
      <c r="C15" s="24" t="s">
        <v>14</v>
      </c>
      <c r="D15" s="25" t="s">
        <v>16</v>
      </c>
      <c r="E15" s="25" t="s">
        <v>17</v>
      </c>
      <c r="F15" s="25" t="s">
        <v>17</v>
      </c>
      <c r="G15" s="25" t="s">
        <v>17</v>
      </c>
      <c r="I15" s="10" t="s">
        <v>16</v>
      </c>
      <c r="J15" s="11" t="s">
        <v>32</v>
      </c>
    </row>
    <row r="16" spans="2:10" ht="30" customHeight="1" x14ac:dyDescent="0.25">
      <c r="B16" s="26" t="s">
        <v>33</v>
      </c>
      <c r="C16" s="27" t="s">
        <v>14</v>
      </c>
      <c r="D16" s="28" t="s">
        <v>16</v>
      </c>
      <c r="E16" s="28" t="s">
        <v>16</v>
      </c>
      <c r="F16" s="28" t="s">
        <v>17</v>
      </c>
      <c r="G16" s="28" t="s">
        <v>17</v>
      </c>
      <c r="I16" s="10" t="s">
        <v>17</v>
      </c>
      <c r="J16" s="11" t="s">
        <v>34</v>
      </c>
    </row>
    <row r="17" spans="2:13" ht="25.5" customHeight="1" x14ac:dyDescent="0.25">
      <c r="B17" s="23" t="s">
        <v>35</v>
      </c>
      <c r="C17" s="24" t="s">
        <v>22</v>
      </c>
      <c r="D17" s="25" t="s">
        <v>15</v>
      </c>
      <c r="E17" s="25" t="s">
        <v>16</v>
      </c>
      <c r="F17" s="25" t="s">
        <v>16</v>
      </c>
      <c r="G17" s="25" t="s">
        <v>17</v>
      </c>
    </row>
    <row r="18" spans="2:13" ht="25.5" customHeight="1" x14ac:dyDescent="0.25">
      <c r="B18" s="26" t="s">
        <v>36</v>
      </c>
      <c r="C18" s="28" t="s">
        <v>16</v>
      </c>
      <c r="D18" s="28" t="s">
        <v>17</v>
      </c>
      <c r="E18" s="27" t="s">
        <v>14</v>
      </c>
      <c r="F18" s="28" t="s">
        <v>16</v>
      </c>
      <c r="G18" s="28" t="s">
        <v>17</v>
      </c>
    </row>
    <row r="19" spans="2:13" ht="25.5" customHeight="1" x14ac:dyDescent="0.25">
      <c r="B19" s="23" t="s">
        <v>37</v>
      </c>
      <c r="C19" s="25" t="s">
        <v>16</v>
      </c>
      <c r="D19" s="25" t="s">
        <v>17</v>
      </c>
      <c r="E19" s="24" t="s">
        <v>14</v>
      </c>
      <c r="F19" s="25" t="s">
        <v>17</v>
      </c>
      <c r="G19" s="25" t="s">
        <v>17</v>
      </c>
      <c r="I19" s="9" t="s">
        <v>38</v>
      </c>
    </row>
    <row r="20" spans="2:13" ht="19.5" customHeight="1" x14ac:dyDescent="0.25">
      <c r="B20" s="22" t="s">
        <v>39</v>
      </c>
      <c r="C20" s="22"/>
      <c r="D20" s="22"/>
      <c r="E20" s="22"/>
      <c r="F20" s="22"/>
      <c r="G20" s="22"/>
      <c r="I20" s="3" t="s">
        <v>3</v>
      </c>
      <c r="J20" s="3" t="s">
        <v>15</v>
      </c>
      <c r="K20" s="3" t="s">
        <v>22</v>
      </c>
      <c r="L20" s="3" t="s">
        <v>16</v>
      </c>
      <c r="M20" s="3" t="s">
        <v>17</v>
      </c>
    </row>
    <row r="21" spans="2:13" ht="25.5" customHeight="1" x14ac:dyDescent="0.25">
      <c r="B21" s="23" t="s">
        <v>40</v>
      </c>
      <c r="C21" s="24" t="s">
        <v>14</v>
      </c>
      <c r="D21" s="25" t="s">
        <v>17</v>
      </c>
      <c r="E21" s="25" t="s">
        <v>17</v>
      </c>
      <c r="F21" s="25" t="s">
        <v>17</v>
      </c>
      <c r="G21" s="25" t="s">
        <v>17</v>
      </c>
      <c r="I21" s="4" t="s">
        <v>5</v>
      </c>
      <c r="J21" s="12">
        <f>COUNTIF(C$7:C$38,"R")+COUNTIF(C$7:C$38,"AR")</f>
        <v>18</v>
      </c>
      <c r="K21" s="12">
        <f>COUNTIF(C$7:C$38,"A")+COUNTIF(C$7:C$38,"AR")</f>
        <v>17</v>
      </c>
      <c r="L21" s="12">
        <f>COUNTIF(C$7:C$38,"C")</f>
        <v>7</v>
      </c>
      <c r="M21" s="12">
        <f>COUNTIF(C$7:C$38,"I")</f>
        <v>1</v>
      </c>
    </row>
    <row r="22" spans="2:13" ht="25.5" customHeight="1" x14ac:dyDescent="0.25">
      <c r="B22" s="26" t="s">
        <v>41</v>
      </c>
      <c r="C22" s="28" t="s">
        <v>16</v>
      </c>
      <c r="D22" s="28" t="s">
        <v>17</v>
      </c>
      <c r="E22" s="27" t="s">
        <v>14</v>
      </c>
      <c r="F22" s="28" t="s">
        <v>17</v>
      </c>
      <c r="G22" s="28" t="s">
        <v>17</v>
      </c>
      <c r="I22" s="5" t="s">
        <v>6</v>
      </c>
      <c r="J22" s="12">
        <f>COUNTIF(D$7:D$38,"R")+COUNTIF(D$7:D$38,"AR")</f>
        <v>12</v>
      </c>
      <c r="K22" s="12">
        <f>COUNTIF(D$7:D$38,"A")+COUNTIF(D$7:D$38,"AR")</f>
        <v>2</v>
      </c>
      <c r="L22" s="12">
        <f>COUNTIF(D$7:D$38,"C")</f>
        <v>10</v>
      </c>
      <c r="M22" s="12">
        <f>COUNTIF(D$7:D$38,"I")</f>
        <v>6</v>
      </c>
    </row>
    <row r="23" spans="2:13" ht="25.5" customHeight="1" x14ac:dyDescent="0.25">
      <c r="B23" s="23" t="s">
        <v>42</v>
      </c>
      <c r="C23" s="25" t="s">
        <v>17</v>
      </c>
      <c r="D23" s="25" t="s">
        <v>17</v>
      </c>
      <c r="E23" s="24" t="s">
        <v>14</v>
      </c>
      <c r="F23" s="25" t="s">
        <v>16</v>
      </c>
      <c r="G23" s="25" t="s">
        <v>17</v>
      </c>
      <c r="I23" s="7" t="s">
        <v>7</v>
      </c>
      <c r="J23" s="12">
        <f>COUNTIF(E$7:E$38,"R")+COUNTIF(E$7:E$38,"AR")</f>
        <v>12</v>
      </c>
      <c r="K23" s="12">
        <f>COUNTIF(E$7:E$38,"A")+COUNTIF(E$7:E$38,"AR")</f>
        <v>9</v>
      </c>
      <c r="L23" s="12">
        <f>COUNTIF(E$7:E$38,"C")</f>
        <v>8</v>
      </c>
      <c r="M23" s="12">
        <f>COUNTIF(E$7:E$38,"I")</f>
        <v>6</v>
      </c>
    </row>
    <row r="24" spans="2:13" ht="25.5" customHeight="1" x14ac:dyDescent="0.25">
      <c r="B24" s="26" t="s">
        <v>43</v>
      </c>
      <c r="C24" s="27" t="s">
        <v>14</v>
      </c>
      <c r="D24" s="28" t="s">
        <v>16</v>
      </c>
      <c r="E24" s="28" t="s">
        <v>17</v>
      </c>
      <c r="F24" s="28" t="s">
        <v>17</v>
      </c>
      <c r="G24" s="28" t="s">
        <v>17</v>
      </c>
      <c r="I24" s="8" t="s">
        <v>8</v>
      </c>
      <c r="J24" s="12">
        <f>COUNTIF(F$7:F$38,"R")+COUNTIF(F$7:F$38,"AR")</f>
        <v>0</v>
      </c>
      <c r="K24" s="12">
        <f>COUNTIF(F$7:F$38,"A")+COUNTIF(F$7:F$38,"AR")</f>
        <v>0</v>
      </c>
      <c r="L24" s="12">
        <f>COUNTIF(F$7:F$38,"C")</f>
        <v>9</v>
      </c>
      <c r="M24" s="12">
        <f>COUNTIF(F$7:F$38,"I")</f>
        <v>19</v>
      </c>
    </row>
    <row r="25" spans="2:13" ht="25.5" customHeight="1" x14ac:dyDescent="0.25">
      <c r="B25" s="23" t="s">
        <v>44</v>
      </c>
      <c r="C25" s="24" t="s">
        <v>14</v>
      </c>
      <c r="D25" s="25" t="s">
        <v>17</v>
      </c>
      <c r="E25" s="25" t="s">
        <v>16</v>
      </c>
      <c r="F25" s="25" t="s">
        <v>17</v>
      </c>
      <c r="G25" s="25" t="s">
        <v>17</v>
      </c>
      <c r="I25" s="6" t="s">
        <v>9</v>
      </c>
      <c r="J25" s="12">
        <f>COUNTIF(G$7:G$38,"R")+COUNTIF(G$7:G$38,"AR")</f>
        <v>0</v>
      </c>
      <c r="K25" s="12">
        <f>COUNTIF(G$7:G$38,"A")+COUNTIF(G$7:G$38,"AR")</f>
        <v>0</v>
      </c>
      <c r="L25" s="12">
        <f>COUNTIF(G$7:G$38,"C")</f>
        <v>5</v>
      </c>
      <c r="M25" s="12">
        <f>COUNTIF(G$7:G$38,"I")</f>
        <v>23</v>
      </c>
    </row>
    <row r="26" spans="2:13" ht="25.5" customHeight="1" x14ac:dyDescent="0.25">
      <c r="B26" s="26" t="s">
        <v>45</v>
      </c>
      <c r="C26" s="28" t="s">
        <v>16</v>
      </c>
      <c r="D26" s="27" t="s">
        <v>14</v>
      </c>
      <c r="E26" s="28" t="s">
        <v>17</v>
      </c>
      <c r="F26" s="28" t="s">
        <v>17</v>
      </c>
      <c r="G26" s="28" t="s">
        <v>17</v>
      </c>
    </row>
    <row r="27" spans="2:13" ht="25.5" customHeight="1" x14ac:dyDescent="0.25">
      <c r="B27" s="23" t="s">
        <v>46</v>
      </c>
      <c r="C27" s="25" t="s">
        <v>16</v>
      </c>
      <c r="D27" s="24" t="s">
        <v>14</v>
      </c>
      <c r="E27" s="25" t="s">
        <v>16</v>
      </c>
      <c r="F27" s="25" t="s">
        <v>17</v>
      </c>
      <c r="G27" s="25" t="s">
        <v>17</v>
      </c>
      <c r="I27" s="1"/>
      <c r="J27" s="1"/>
      <c r="K27" s="1"/>
      <c r="L27" s="1"/>
      <c r="M27" s="1"/>
    </row>
    <row r="28" spans="2:13" ht="25.5" customHeight="1" x14ac:dyDescent="0.25">
      <c r="B28" s="26" t="s">
        <v>47</v>
      </c>
      <c r="C28" s="27" t="s">
        <v>14</v>
      </c>
      <c r="D28" s="28" t="s">
        <v>15</v>
      </c>
      <c r="E28" s="28" t="s">
        <v>17</v>
      </c>
      <c r="F28" s="28" t="s">
        <v>17</v>
      </c>
      <c r="G28" s="28" t="s">
        <v>17</v>
      </c>
    </row>
    <row r="29" spans="2:13" ht="19.5" customHeight="1" x14ac:dyDescent="0.25">
      <c r="B29" s="22" t="s">
        <v>48</v>
      </c>
      <c r="C29" s="22"/>
      <c r="D29" s="22"/>
      <c r="E29" s="22"/>
      <c r="F29" s="22"/>
      <c r="G29" s="22"/>
    </row>
    <row r="30" spans="2:13" ht="25.5" customHeight="1" x14ac:dyDescent="0.25">
      <c r="B30" s="23" t="s">
        <v>49</v>
      </c>
      <c r="C30" s="25" t="s">
        <v>16</v>
      </c>
      <c r="D30" s="25" t="s">
        <v>16</v>
      </c>
      <c r="E30" s="24" t="s">
        <v>14</v>
      </c>
      <c r="F30" s="25" t="s">
        <v>17</v>
      </c>
      <c r="G30" s="25" t="s">
        <v>17</v>
      </c>
    </row>
    <row r="31" spans="2:13" ht="25.5" customHeight="1" x14ac:dyDescent="0.25">
      <c r="B31" s="26" t="s">
        <v>50</v>
      </c>
      <c r="C31" s="28" t="s">
        <v>16</v>
      </c>
      <c r="D31" s="28" t="s">
        <v>16</v>
      </c>
      <c r="E31" s="27" t="s">
        <v>14</v>
      </c>
      <c r="F31" s="28" t="s">
        <v>17</v>
      </c>
      <c r="G31" s="28" t="s">
        <v>17</v>
      </c>
    </row>
    <row r="32" spans="2:13" ht="25.5" customHeight="1" x14ac:dyDescent="0.25">
      <c r="B32" s="23" t="s">
        <v>51</v>
      </c>
      <c r="C32" s="25" t="s">
        <v>15</v>
      </c>
      <c r="D32" s="25" t="s">
        <v>15</v>
      </c>
      <c r="E32" s="24" t="s">
        <v>14</v>
      </c>
      <c r="F32" s="25" t="s">
        <v>16</v>
      </c>
      <c r="G32" s="25" t="s">
        <v>17</v>
      </c>
    </row>
    <row r="33" spans="2:7" ht="25.5" customHeight="1" x14ac:dyDescent="0.25">
      <c r="B33" s="26" t="s">
        <v>52</v>
      </c>
      <c r="C33" s="28" t="s">
        <v>15</v>
      </c>
      <c r="D33" s="28" t="s">
        <v>15</v>
      </c>
      <c r="E33" s="27" t="s">
        <v>22</v>
      </c>
      <c r="F33" s="28" t="s">
        <v>17</v>
      </c>
      <c r="G33" s="28" t="s">
        <v>17</v>
      </c>
    </row>
    <row r="34" spans="2:7" ht="19.5" customHeight="1" x14ac:dyDescent="0.25">
      <c r="B34" s="22" t="s">
        <v>53</v>
      </c>
      <c r="C34" s="22"/>
      <c r="D34" s="22"/>
      <c r="E34" s="22"/>
      <c r="F34" s="22"/>
      <c r="G34" s="22"/>
    </row>
    <row r="35" spans="2:7" ht="25.5" customHeight="1" x14ac:dyDescent="0.25">
      <c r="B35" s="23" t="s">
        <v>54</v>
      </c>
      <c r="C35" s="24" t="s">
        <v>14</v>
      </c>
      <c r="D35" s="25" t="s">
        <v>16</v>
      </c>
      <c r="E35" s="25" t="s">
        <v>17</v>
      </c>
      <c r="F35" s="25" t="s">
        <v>17</v>
      </c>
      <c r="G35" s="25" t="s">
        <v>17</v>
      </c>
    </row>
    <row r="36" spans="2:7" ht="25.5" customHeight="1" x14ac:dyDescent="0.25">
      <c r="B36" s="26" t="s">
        <v>55</v>
      </c>
      <c r="C36" s="27" t="s">
        <v>14</v>
      </c>
      <c r="D36" s="28" t="s">
        <v>15</v>
      </c>
      <c r="E36" s="28" t="s">
        <v>15</v>
      </c>
      <c r="F36" s="28" t="s">
        <v>17</v>
      </c>
      <c r="G36" s="28" t="s">
        <v>16</v>
      </c>
    </row>
    <row r="37" spans="2:7" ht="25.5" customHeight="1" x14ac:dyDescent="0.25">
      <c r="B37" s="23" t="s">
        <v>56</v>
      </c>
      <c r="C37" s="24" t="s">
        <v>14</v>
      </c>
      <c r="D37" s="25" t="s">
        <v>15</v>
      </c>
      <c r="E37" s="25" t="s">
        <v>15</v>
      </c>
      <c r="F37" s="25" t="s">
        <v>16</v>
      </c>
      <c r="G37" s="25" t="s">
        <v>16</v>
      </c>
    </row>
    <row r="38" spans="2:7" ht="25.5" customHeight="1" x14ac:dyDescent="0.25">
      <c r="B38" s="26" t="s">
        <v>57</v>
      </c>
      <c r="C38" s="28" t="s">
        <v>15</v>
      </c>
      <c r="D38" s="28" t="s">
        <v>15</v>
      </c>
      <c r="E38" s="27" t="s">
        <v>22</v>
      </c>
      <c r="F38" s="28" t="s">
        <v>17</v>
      </c>
      <c r="G38" s="28" t="s">
        <v>17</v>
      </c>
    </row>
  </sheetData>
  <mergeCells count="9">
    <mergeCell ref="B14:G14"/>
    <mergeCell ref="B20:G20"/>
    <mergeCell ref="I27:M27"/>
    <mergeCell ref="B29:G29"/>
    <mergeCell ref="B34:G34"/>
    <mergeCell ref="B4:B5"/>
    <mergeCell ref="C4:G4"/>
    <mergeCell ref="B6:G6"/>
    <mergeCell ref="B1:G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Matriz RACI</vt:lpstr>
      <vt:lpstr>'Matriz RACI'!Print_Area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LEONARDO EZEQUIEL FIGUEROA ROMAN</cp:lastModifiedBy>
  <cp:revision>0</cp:revision>
  <dcterms:created xsi:type="dcterms:W3CDTF">2026-09-12T13:36:45Z</dcterms:created>
  <dcterms:modified xsi:type="dcterms:W3CDTF">2026-09-12T13:43:13Z</dcterms:modified>
  <dc:language>en-US</dc:language>
</cp:coreProperties>
</file>