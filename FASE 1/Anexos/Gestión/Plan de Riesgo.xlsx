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ku\Desktop\U\Capstone\"/>
    </mc:Choice>
  </mc:AlternateContent>
  <xr:revisionPtr revIDLastSave="0" documentId="8_{E0C6C0E4-BCAC-4BFE-B5C0-00D7EBB308F5}" xr6:coauthVersionLast="47" xr6:coauthVersionMax="47" xr10:uidLastSave="{00000000-0000-0000-0000-000000000000}"/>
  <bookViews>
    <workbookView xWindow="-120" yWindow="-120" windowWidth="29040" windowHeight="15720" tabRatio="500" xr2:uid="{00000000-000D-0000-FFFF-FFFF00000000}"/>
  </bookViews>
  <sheets>
    <sheet name="Matriz de riesgo" sheetId="1" r:id="rId1"/>
  </sheets>
  <definedNames>
    <definedName name="_xlnm.Print_Area" localSheetId="0">'Matriz de riesgo'!$A$1:$G$29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 i="1" l="1"/>
  <c r="F19" i="1"/>
  <c r="F18" i="1"/>
  <c r="F17" i="1"/>
  <c r="F16" i="1"/>
  <c r="F15" i="1"/>
  <c r="F14" i="1"/>
  <c r="F13" i="1"/>
  <c r="F12" i="1"/>
  <c r="F11" i="1"/>
  <c r="F10" i="1"/>
  <c r="F9" i="1"/>
  <c r="F8" i="1"/>
  <c r="F7" i="1"/>
  <c r="F5" i="1"/>
</calcChain>
</file>

<file path=xl/sharedStrings.xml><?xml version="1.0" encoding="utf-8"?>
<sst xmlns="http://schemas.openxmlformats.org/spreadsheetml/2006/main" count="95" uniqueCount="67">
  <si>
    <t>Matriz de riesgo — Rumbo SIMCE</t>
  </si>
  <si>
    <t>Proyecto APT | Asignatura PTY4614 — Capstone | Cliente: Triskel Edu | Equipo: Nixy Silva, Cristóbal Muñoz y Leonardo Figueroa</t>
  </si>
  <si>
    <t>ID</t>
  </si>
  <si>
    <t>Riesgo</t>
  </si>
  <si>
    <t>Tipo de riesgo</t>
  </si>
  <si>
    <t>Probabilidad</t>
  </si>
  <si>
    <t>Impacto</t>
  </si>
  <si>
    <t>Exposición</t>
  </si>
  <si>
    <t>Acción de mitigación</t>
  </si>
  <si>
    <t>R-01</t>
  </si>
  <si>
    <t>Disponibilidad irregular del cliente para validar los incrementos de cada sprint</t>
  </si>
  <si>
    <t>Riesgo de proyecto</t>
  </si>
  <si>
    <t>Crítica</t>
  </si>
  <si>
    <t>Fijar las reuniones de revisión con al menos dos semanas de anticipación y dejar acta escrita de cada acuerdo. Si el cliente no puede asistir, el equipo continúa con la prioridad ya aprobada y registra los supuestos asumidos para validarlos en la reunión siguiente.</t>
  </si>
  <si>
    <t>R-02</t>
  </si>
  <si>
    <t>Baja disponibilidad horaria del equipo por la carga de otras asignaturas</t>
  </si>
  <si>
    <t>Marginal</t>
  </si>
  <si>
    <t>Planificar sprints de tres semanas con carga pareja y evitar comprometer entregas en semanas de evaluaciones de otros ramos. Revisar la capacidad real del equipo al inicio de cada sprint y reducir el alcance del sprint antes que arrastrar deuda.</t>
  </si>
  <si>
    <t>R-03</t>
  </si>
  <si>
    <t>Ausencia prolongada o retiro de un integrante del equipo</t>
  </si>
  <si>
    <t>Mantener toda la documentación en el repositorio compartido y hacer revisión cruzada del código, de modo que ningún módulo dependa de una sola persona. Ante una ausencia, se redistribuyen las tareas y se recorta el alcance de los módulos de prioridad media.</t>
  </si>
  <si>
    <t>R-04</t>
  </si>
  <si>
    <t>Retraso acumulado que desplaza las fechas de la carta Gantt</t>
  </si>
  <si>
    <t>Medir el avance al cierre de cada sprint contra la carta Gantt. Ante una desviación superior a una semana, se posterga primero lo marcado como prioridad baja (racha de días, insignias) y se protegen las fechas de las tres fases de la asignatura.</t>
  </si>
  <si>
    <t>R-05</t>
  </si>
  <si>
    <t>Curva de aprendizaje de Flutter mayor a la estimada, por ser una tecnología nueva para el equipo</t>
  </si>
  <si>
    <t>Riesgo técnico</t>
  </si>
  <si>
    <t>Destinar las dos primeras semanas de construcción a una prueba de concepto del mapa y de una misión. Si al término de ese plazo el avance no es suficiente, se evalúa migrar a desarrollo nativo en Kotlin, que el equipo conoce mejor.</t>
  </si>
  <si>
    <t>R-06</t>
  </si>
  <si>
    <t>El volumen del banco de ejercicios exige más tiempo del previsto</t>
  </si>
  <si>
    <t>Completar primero un eje curricular por entero antes de iniciar el segundo, de modo que siempre exista una versión utilizable. Priorizar los objetivos de aprendizaje con mayor peso en la prueba y dejar el resto para la fase siguiente.</t>
  </si>
  <si>
    <t>R-07</t>
  </si>
  <si>
    <t>Un ejercicio con error matemático o con lenguaje inadecuado llega al estudiante</t>
  </si>
  <si>
    <t>Catastrófica</t>
  </si>
  <si>
    <t>La respuesta correcta la calcula la plantilla paramétrica y no el modelo de lenguaje. Ningún enunciado se publica sin pasar por revisión y quedar en estado aprobado. Las pruebas de contenido verifican de forma automática que la respuesta almacenada coincida con la calculada.</t>
  </si>
  <si>
    <t>R-08</t>
  </si>
  <si>
    <t>Pérdida o duplicación de resultados al sincronizar el avance registrado sin conexión</t>
  </si>
  <si>
    <t>La sincronización opera en un solo sentido, desde el dispositivo hacia el servidor, con identificador único por intento para descartar duplicados. Los resultados permanecen en el dispositivo hasta recibir confirmación del servidor.</t>
  </si>
  <si>
    <t>R-09</t>
  </si>
  <si>
    <t>Rendimiento insuficiente en dispositivos de gama baja</t>
  </si>
  <si>
    <t>Probar desde el primer sprint en un equipo de 2 GB de RAM y no solo en emulador. Limitar el peso de las ilustraciones y precargar únicamente los ejercicios del nivel vigente.</t>
  </si>
  <si>
    <t>R-10</t>
  </si>
  <si>
    <t>Pérdida de código o de la base de datos por falta de respaldo</t>
  </si>
  <si>
    <t>Todo el código reside en GitHub con historial de cambios y ningún trabajo permanece más de un día solo en un equipo local. La base de datos del ambiente de pruebas se respalda al cierre de cada sprint.</t>
  </si>
  <si>
    <t>R-11</t>
  </si>
  <si>
    <t>El Ministerio de Educación modifica los contenidos evaluados en el SIMCE</t>
  </si>
  <si>
    <t>Riesgo de negocio</t>
  </si>
  <si>
    <t>El banco de ejercicios se organiza por objetivo de aprendizaje, de modo que un cambio de temario implica agregar o retirar objetivos y no rehacer el sistema. Incorporar un objetivo nuevo no requiere modificar el código.</t>
  </si>
  <si>
    <t>R-12</t>
  </si>
  <si>
    <t>No se consigue acceso a un curso para la validación con estudiantes reales</t>
  </si>
  <si>
    <t>Gestionar el contacto con el establecimiento a partir de la semana 10, con apoyo del cliente. Como alternativa, realizar la validación con un grupo de niños del entorno familiar de los integrantes, dejando constancia de la diferencia en el informe de pruebas.</t>
  </si>
  <si>
    <t>R-13</t>
  </si>
  <si>
    <t>El costo de la API del modelo de lenguaje supera lo previsto</t>
  </si>
  <si>
    <t>El modelo se usa solo para generar el banco antes del despliegue y no durante el juego, por lo que el costo es acotado y conocido. Se genera por lotes y se fija un tope de gasto antes de iniciar cada lote.</t>
  </si>
  <si>
    <t>R-14</t>
  </si>
  <si>
    <t>El cliente solicita ampliar el alcance durante el desarrollo</t>
  </si>
  <si>
    <t>El alcance del MVP está firmado en el acta de levantamiento. Toda solicitud nueva ingresa al product backlog y se prioriza en la planificación del sprint siguiente; si no cabe en el semestre, se documenta como fase posterior.</t>
  </si>
  <si>
    <t>R-15</t>
  </si>
  <si>
    <t>Tratamiento inadecuado de datos personales de menores de edad</t>
  </si>
  <si>
    <t>La cuenta la crea siempre un adulto y no se solicitan datos personales al estudiante, que ingresa con alias y PIN. No se envían datos de estudiantes al modelo de lenguaje ni a terceros. El apoderado puede solicitar la eliminación del perfil y sus datos.</t>
  </si>
  <si>
    <t>Escala de impacto</t>
  </si>
  <si>
    <t>Alto: 1,00 o más — requiere acción planificada desde ahora</t>
  </si>
  <si>
    <t>Peso</t>
  </si>
  <si>
    <t>Medio: entre 0,50 y 0,99 — se vigila al cierre de cada sprint</t>
  </si>
  <si>
    <t>Despreciable</t>
  </si>
  <si>
    <t>Bajo: menos de 0,50 — se acepta y se monitorea</t>
  </si>
  <si>
    <t>Nivel de exposición (Probabilidad x Impacto)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</si>
</sst>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sz val="11"/>
      <color rgb="FF000000"/>
      <name val="Calibri"/>
      <charset val="1"/>
    </font>
    <font>
      <b/>
      <sz val="12"/>
      <color rgb="FFFFFFFF"/>
      <name val="Calibri"/>
      <charset val="1"/>
    </font>
    <font>
      <b/>
      <sz val="11"/>
      <color rgb="FF000000"/>
      <name val="Calibri"/>
      <charset val="1"/>
    </font>
    <font>
      <b/>
      <sz val="11"/>
      <color rgb="FFFFFFFF"/>
      <name val="Calibri"/>
      <charset val="1"/>
    </font>
    <font>
      <sz val="10"/>
      <color rgb="FF000000"/>
      <name val="Calibri"/>
      <charset val="1"/>
    </font>
    <font>
      <b/>
      <sz val="11"/>
      <color theme="1"/>
      <name val="Calibri"/>
      <family val="2"/>
    </font>
    <font>
      <b/>
      <sz val="22"/>
      <color theme="1"/>
      <name val="Calibri"/>
      <family val="2"/>
    </font>
    <font>
      <b/>
      <sz val="12"/>
      <color theme="1"/>
      <name val="Calibri"/>
      <family val="2"/>
    </font>
    <font>
      <sz val="11"/>
      <color theme="1"/>
      <name val="Calibri"/>
      <family val="2"/>
    </font>
  </fonts>
  <fills count="14">
    <fill>
      <patternFill patternType="none"/>
    </fill>
    <fill>
      <patternFill patternType="gray125"/>
    </fill>
    <fill>
      <patternFill patternType="solid">
        <fgColor rgb="FF0B5394"/>
        <bgColor rgb="FF003366"/>
      </patternFill>
    </fill>
    <fill>
      <patternFill patternType="solid">
        <fgColor rgb="FFF3F3F3"/>
        <bgColor rgb="FFFFFFFF"/>
      </patternFill>
    </fill>
    <fill>
      <patternFill patternType="solid">
        <fgColor rgb="FFFFFF99"/>
        <bgColor indexed="64"/>
      </patternFill>
    </fill>
    <fill>
      <patternFill patternType="solid">
        <fgColor theme="4" tint="0.59999389629810485"/>
        <bgColor rgb="FFFFFFFF"/>
      </patternFill>
    </fill>
    <fill>
      <patternFill patternType="solid">
        <fgColor theme="4" tint="0.59999389629810485"/>
        <bgColor indexed="64"/>
      </patternFill>
    </fill>
    <fill>
      <patternFill patternType="solid">
        <fgColor theme="8" tint="0.39997558519241921"/>
        <bgColor indexed="64"/>
      </patternFill>
    </fill>
    <fill>
      <patternFill patternType="solid">
        <fgColor theme="5" tint="0.39997558519241921"/>
        <bgColor rgb="FFFCE5CD"/>
      </patternFill>
    </fill>
    <fill>
      <patternFill patternType="solid">
        <fgColor rgb="FFFFFF00"/>
        <bgColor rgb="FFF3F3F3"/>
      </patternFill>
    </fill>
    <fill>
      <patternFill patternType="solid">
        <fgColor rgb="FF92D050"/>
        <bgColor rgb="FFF3F3F3"/>
      </patternFill>
    </fill>
    <fill>
      <patternFill patternType="solid">
        <fgColor theme="5" tint="0.39997558519241921"/>
        <bgColor rgb="FFFFFFFF"/>
      </patternFill>
    </fill>
    <fill>
      <patternFill patternType="solid">
        <fgColor rgb="FFCC0000"/>
        <bgColor indexed="64"/>
      </patternFill>
    </fill>
    <fill>
      <patternFill patternType="solid">
        <fgColor rgb="FFCC0000"/>
        <bgColor rgb="FFFFFFFF"/>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5" fillId="0" borderId="0" xfId="0" applyFont="1" applyAlignment="1">
      <alignment horizontal="left" vertical="center" wrapText="1"/>
    </xf>
    <xf numFmtId="0" fontId="1" fillId="3" borderId="1" xfId="0" applyFont="1" applyFill="1" applyBorder="1" applyAlignment="1">
      <alignment horizontal="center" vertical="center" wrapText="1"/>
    </xf>
    <xf numFmtId="9" fontId="1" fillId="3" borderId="1" xfId="0"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2" fontId="1" fillId="0" borderId="1" xfId="0" applyNumberFormat="1" applyFont="1" applyBorder="1" applyAlignment="1">
      <alignment horizontal="center" vertical="center" wrapText="1"/>
    </xf>
    <xf numFmtId="0" fontId="1" fillId="3" borderId="1" xfId="0" applyFont="1" applyFill="1" applyBorder="1" applyAlignment="1">
      <alignment horizontal="left" vertical="center"/>
    </xf>
    <xf numFmtId="0" fontId="2" fillId="2" borderId="2" xfId="0" applyFont="1" applyFill="1" applyBorder="1" applyAlignment="1">
      <alignment horizontal="center" vertical="center" wrapText="1"/>
    </xf>
    <xf numFmtId="0" fontId="0" fillId="0" borderId="3" xfId="0" applyBorder="1"/>
    <xf numFmtId="0" fontId="0" fillId="0" borderId="5" xfId="0" applyBorder="1" applyAlignment="1">
      <alignment horizontal="center" wrapText="1"/>
    </xf>
    <xf numFmtId="0" fontId="0" fillId="0" borderId="4" xfId="0" applyBorder="1" applyAlignment="1">
      <alignment horizontal="center" wrapText="1"/>
    </xf>
    <xf numFmtId="0" fontId="0" fillId="0" borderId="6" xfId="0" applyBorder="1" applyAlignment="1">
      <alignment horizontal="center" wrapText="1"/>
    </xf>
    <xf numFmtId="0" fontId="7" fillId="4" borderId="3" xfId="0" applyFont="1" applyFill="1" applyBorder="1" applyAlignment="1">
      <alignment horizontal="left" vertical="center" wrapText="1"/>
    </xf>
    <xf numFmtId="0" fontId="6" fillId="4" borderId="3"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0" borderId="3" xfId="0" applyFont="1" applyBorder="1" applyAlignment="1">
      <alignment horizontal="left" vertical="center"/>
    </xf>
    <xf numFmtId="0" fontId="1" fillId="0" borderId="7" xfId="0" applyFont="1" applyBorder="1" applyAlignment="1">
      <alignment horizontal="left" vertical="center"/>
    </xf>
    <xf numFmtId="0" fontId="0" fillId="0" borderId="7" xfId="0" applyBorder="1"/>
    <xf numFmtId="0" fontId="4" fillId="2" borderId="2"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1" fillId="10" borderId="3" xfId="0" applyFont="1" applyFill="1" applyBorder="1" applyAlignment="1">
      <alignment horizontal="center" vertical="center" wrapText="1"/>
    </xf>
    <xf numFmtId="2" fontId="1" fillId="11" borderId="1" xfId="0" applyNumberFormat="1" applyFont="1" applyFill="1" applyBorder="1" applyAlignment="1">
      <alignment horizontal="center" vertical="center" wrapText="1"/>
    </xf>
    <xf numFmtId="0" fontId="9" fillId="8" borderId="7" xfId="0" applyFont="1" applyFill="1" applyBorder="1" applyAlignment="1">
      <alignment horizontal="center" vertical="center" wrapText="1"/>
    </xf>
    <xf numFmtId="2" fontId="1" fillId="12" borderId="1" xfId="0" applyNumberFormat="1" applyFont="1" applyFill="1" applyBorder="1" applyAlignment="1">
      <alignment horizontal="center" vertical="center" wrapText="1"/>
    </xf>
    <xf numFmtId="2" fontId="1" fillId="13" borderId="1" xfId="0" applyNumberFormat="1" applyFont="1" applyFill="1" applyBorder="1" applyAlignment="1">
      <alignment horizontal="center" vertical="center" wrapText="1"/>
    </xf>
  </cellXfs>
  <cellStyles count="1">
    <cellStyle name="Normal" xfId="0" builtinId="0"/>
  </cellStyles>
  <dxfs count="3">
    <dxf>
      <fill>
        <patternFill>
          <bgColor rgb="FFD9EAD3"/>
        </patternFill>
      </fill>
    </dxf>
    <dxf>
      <fill>
        <patternFill>
          <bgColor rgb="FFFCE5CD"/>
        </patternFill>
      </fill>
    </dxf>
    <dxf>
      <font>
        <b/>
        <sz val="11"/>
        <name val="Calibri"/>
        <charset val="1"/>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3F3F3"/>
      <rgbColor rgb="FFCCFFFF"/>
      <rgbColor rgb="FF660066"/>
      <rgbColor rgb="FFFF8080"/>
      <rgbColor rgb="FF0B5394"/>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C0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9"/>
  <sheetViews>
    <sheetView showGridLines="0" tabSelected="1" zoomScale="85" zoomScaleNormal="85" workbookViewId="0">
      <pane ySplit="4" topLeftCell="A5" activePane="bottomLeft" state="frozen"/>
      <selection pane="bottomLeft" activeCell="K6" sqref="K6"/>
    </sheetView>
  </sheetViews>
  <sheetFormatPr defaultColWidth="8.7109375" defaultRowHeight="15" x14ac:dyDescent="0.25"/>
  <cols>
    <col min="1" max="1" width="7" customWidth="1"/>
    <col min="2" max="2" width="42" customWidth="1"/>
    <col min="3" max="3" width="17" customWidth="1"/>
    <col min="4" max="4" width="19.140625" customWidth="1"/>
    <col min="5" max="5" width="16.28515625" customWidth="1"/>
    <col min="6" max="6" width="17.7109375" customWidth="1"/>
    <col min="7" max="7" width="68" customWidth="1"/>
  </cols>
  <sheetData>
    <row r="1" spans="1:7" ht="28.35" customHeight="1" x14ac:dyDescent="0.25">
      <c r="A1" s="14" t="s">
        <v>0</v>
      </c>
      <c r="B1" s="14"/>
      <c r="C1" s="14"/>
      <c r="D1" s="14"/>
      <c r="E1" s="14"/>
      <c r="F1" s="14"/>
      <c r="G1" s="14"/>
    </row>
    <row r="2" spans="1:7" ht="15" customHeight="1" x14ac:dyDescent="0.25">
      <c r="A2" s="15" t="s">
        <v>1</v>
      </c>
      <c r="B2" s="15"/>
      <c r="C2" s="15"/>
      <c r="D2" s="15"/>
      <c r="E2" s="15"/>
      <c r="F2" s="15"/>
      <c r="G2" s="15"/>
    </row>
    <row r="3" spans="1:7" x14ac:dyDescent="0.25">
      <c r="A3" s="11"/>
      <c r="B3" s="12"/>
      <c r="C3" s="12"/>
      <c r="D3" s="12"/>
      <c r="E3" s="12"/>
      <c r="F3" s="12"/>
      <c r="G3" s="13"/>
    </row>
    <row r="4" spans="1:7" ht="30" customHeight="1" x14ac:dyDescent="0.25">
      <c r="A4" s="9" t="s">
        <v>2</v>
      </c>
      <c r="B4" s="9" t="s">
        <v>3</v>
      </c>
      <c r="C4" s="9" t="s">
        <v>4</v>
      </c>
      <c r="D4" s="9" t="s">
        <v>5</v>
      </c>
      <c r="E4" s="9" t="s">
        <v>6</v>
      </c>
      <c r="F4" s="9" t="s">
        <v>7</v>
      </c>
      <c r="G4" s="9" t="s">
        <v>8</v>
      </c>
    </row>
    <row r="5" spans="1:7" ht="78" customHeight="1" x14ac:dyDescent="0.25">
      <c r="A5" s="16" t="s">
        <v>9</v>
      </c>
      <c r="B5" s="17" t="s">
        <v>10</v>
      </c>
      <c r="C5" s="17" t="s">
        <v>11</v>
      </c>
      <c r="D5" s="3">
        <v>0.4</v>
      </c>
      <c r="E5" s="2" t="s">
        <v>12</v>
      </c>
      <c r="F5" s="29">
        <f t="shared" ref="F5:F19" si="0">D5*INDEX($F$24:$F$27,MATCH(E5,$E$24:$E$27,0))</f>
        <v>1.2000000000000002</v>
      </c>
      <c r="G5" s="17" t="s">
        <v>13</v>
      </c>
    </row>
    <row r="6" spans="1:7" ht="78" customHeight="1" x14ac:dyDescent="0.25">
      <c r="A6" s="18" t="s">
        <v>14</v>
      </c>
      <c r="B6" s="19" t="s">
        <v>15</v>
      </c>
      <c r="C6" s="19" t="s">
        <v>11</v>
      </c>
      <c r="D6" s="6">
        <v>0.5</v>
      </c>
      <c r="E6" s="5" t="s">
        <v>16</v>
      </c>
      <c r="F6" s="31">
        <f>D6*INDEX($F$24:$F$27,MATCH(E6,$E$24:$E$27,0))</f>
        <v>1</v>
      </c>
      <c r="G6" s="19" t="s">
        <v>17</v>
      </c>
    </row>
    <row r="7" spans="1:7" ht="78" customHeight="1" x14ac:dyDescent="0.25">
      <c r="A7" s="16" t="s">
        <v>18</v>
      </c>
      <c r="B7" s="17" t="s">
        <v>19</v>
      </c>
      <c r="C7" s="17" t="s">
        <v>11</v>
      </c>
      <c r="D7" s="3">
        <v>0.15</v>
      </c>
      <c r="E7" s="2" t="s">
        <v>12</v>
      </c>
      <c r="F7" s="4">
        <f t="shared" si="0"/>
        <v>0.44999999999999996</v>
      </c>
      <c r="G7" s="17" t="s">
        <v>20</v>
      </c>
    </row>
    <row r="8" spans="1:7" ht="78" customHeight="1" x14ac:dyDescent="0.25">
      <c r="A8" s="18" t="s">
        <v>21</v>
      </c>
      <c r="B8" s="19" t="s">
        <v>22</v>
      </c>
      <c r="C8" s="19" t="s">
        <v>11</v>
      </c>
      <c r="D8" s="6">
        <v>0.4</v>
      </c>
      <c r="E8" s="5" t="s">
        <v>16</v>
      </c>
      <c r="F8" s="7">
        <f t="shared" si="0"/>
        <v>0.8</v>
      </c>
      <c r="G8" s="19" t="s">
        <v>23</v>
      </c>
    </row>
    <row r="9" spans="1:7" ht="78" customHeight="1" x14ac:dyDescent="0.25">
      <c r="A9" s="16" t="s">
        <v>24</v>
      </c>
      <c r="B9" s="17" t="s">
        <v>25</v>
      </c>
      <c r="C9" s="17" t="s">
        <v>26</v>
      </c>
      <c r="D9" s="3">
        <v>0.5</v>
      </c>
      <c r="E9" s="2" t="s">
        <v>16</v>
      </c>
      <c r="F9" s="4">
        <f t="shared" si="0"/>
        <v>1</v>
      </c>
      <c r="G9" s="17" t="s">
        <v>27</v>
      </c>
    </row>
    <row r="10" spans="1:7" ht="78" customHeight="1" x14ac:dyDescent="0.25">
      <c r="A10" s="18" t="s">
        <v>28</v>
      </c>
      <c r="B10" s="19" t="s">
        <v>29</v>
      </c>
      <c r="C10" s="19" t="s">
        <v>26</v>
      </c>
      <c r="D10" s="6">
        <v>0.4</v>
      </c>
      <c r="E10" s="5" t="s">
        <v>12</v>
      </c>
      <c r="F10" s="7">
        <f t="shared" si="0"/>
        <v>1.2000000000000002</v>
      </c>
      <c r="G10" s="19" t="s">
        <v>30</v>
      </c>
    </row>
    <row r="11" spans="1:7" ht="78" customHeight="1" x14ac:dyDescent="0.25">
      <c r="A11" s="16" t="s">
        <v>31</v>
      </c>
      <c r="B11" s="17" t="s">
        <v>32</v>
      </c>
      <c r="C11" s="17" t="s">
        <v>26</v>
      </c>
      <c r="D11" s="3">
        <v>0.2</v>
      </c>
      <c r="E11" s="2" t="s">
        <v>33</v>
      </c>
      <c r="F11" s="4">
        <f t="shared" si="0"/>
        <v>0.8</v>
      </c>
      <c r="G11" s="17" t="s">
        <v>34</v>
      </c>
    </row>
    <row r="12" spans="1:7" ht="78" customHeight="1" x14ac:dyDescent="0.25">
      <c r="A12" s="18" t="s">
        <v>35</v>
      </c>
      <c r="B12" s="19" t="s">
        <v>36</v>
      </c>
      <c r="C12" s="19" t="s">
        <v>26</v>
      </c>
      <c r="D12" s="6">
        <v>0.3</v>
      </c>
      <c r="E12" s="5" t="s">
        <v>12</v>
      </c>
      <c r="F12" s="7">
        <f t="shared" si="0"/>
        <v>0.89999999999999991</v>
      </c>
      <c r="G12" s="19" t="s">
        <v>37</v>
      </c>
    </row>
    <row r="13" spans="1:7" ht="78" customHeight="1" x14ac:dyDescent="0.25">
      <c r="A13" s="16" t="s">
        <v>38</v>
      </c>
      <c r="B13" s="17" t="s">
        <v>39</v>
      </c>
      <c r="C13" s="17" t="s">
        <v>26</v>
      </c>
      <c r="D13" s="3">
        <v>0.25</v>
      </c>
      <c r="E13" s="2" t="s">
        <v>16</v>
      </c>
      <c r="F13" s="4">
        <f t="shared" si="0"/>
        <v>0.5</v>
      </c>
      <c r="G13" s="17" t="s">
        <v>40</v>
      </c>
    </row>
    <row r="14" spans="1:7" ht="78" customHeight="1" x14ac:dyDescent="0.25">
      <c r="A14" s="18" t="s">
        <v>41</v>
      </c>
      <c r="B14" s="19" t="s">
        <v>42</v>
      </c>
      <c r="C14" s="19" t="s">
        <v>26</v>
      </c>
      <c r="D14" s="6">
        <v>0.1</v>
      </c>
      <c r="E14" s="5" t="s">
        <v>33</v>
      </c>
      <c r="F14" s="7">
        <f t="shared" si="0"/>
        <v>0.4</v>
      </c>
      <c r="G14" s="19" t="s">
        <v>43</v>
      </c>
    </row>
    <row r="15" spans="1:7" ht="78" customHeight="1" x14ac:dyDescent="0.25">
      <c r="A15" s="16" t="s">
        <v>44</v>
      </c>
      <c r="B15" s="17" t="s">
        <v>45</v>
      </c>
      <c r="C15" s="17" t="s">
        <v>46</v>
      </c>
      <c r="D15" s="3">
        <v>0.1</v>
      </c>
      <c r="E15" s="2" t="s">
        <v>12</v>
      </c>
      <c r="F15" s="4">
        <f t="shared" si="0"/>
        <v>0.30000000000000004</v>
      </c>
      <c r="G15" s="17" t="s">
        <v>47</v>
      </c>
    </row>
    <row r="16" spans="1:7" ht="78" customHeight="1" x14ac:dyDescent="0.25">
      <c r="A16" s="18" t="s">
        <v>48</v>
      </c>
      <c r="B16" s="19" t="s">
        <v>49</v>
      </c>
      <c r="C16" s="19" t="s">
        <v>46</v>
      </c>
      <c r="D16" s="6">
        <v>0.45</v>
      </c>
      <c r="E16" s="5" t="s">
        <v>16</v>
      </c>
      <c r="F16" s="7">
        <f t="shared" si="0"/>
        <v>0.9</v>
      </c>
      <c r="G16" s="19" t="s">
        <v>50</v>
      </c>
    </row>
    <row r="17" spans="1:7" ht="78" customHeight="1" x14ac:dyDescent="0.25">
      <c r="A17" s="16" t="s">
        <v>51</v>
      </c>
      <c r="B17" s="17" t="s">
        <v>52</v>
      </c>
      <c r="C17" s="17" t="s">
        <v>46</v>
      </c>
      <c r="D17" s="3">
        <v>0.25</v>
      </c>
      <c r="E17" s="2" t="s">
        <v>16</v>
      </c>
      <c r="F17" s="4">
        <f t="shared" si="0"/>
        <v>0.5</v>
      </c>
      <c r="G17" s="17" t="s">
        <v>53</v>
      </c>
    </row>
    <row r="18" spans="1:7" ht="78" customHeight="1" x14ac:dyDescent="0.25">
      <c r="A18" s="18" t="s">
        <v>54</v>
      </c>
      <c r="B18" s="19" t="s">
        <v>55</v>
      </c>
      <c r="C18" s="19" t="s">
        <v>46</v>
      </c>
      <c r="D18" s="6">
        <v>0.35</v>
      </c>
      <c r="E18" s="5" t="s">
        <v>12</v>
      </c>
      <c r="F18" s="7">
        <f t="shared" si="0"/>
        <v>1.0499999999999998</v>
      </c>
      <c r="G18" s="19" t="s">
        <v>56</v>
      </c>
    </row>
    <row r="19" spans="1:7" ht="78" customHeight="1" x14ac:dyDescent="0.25">
      <c r="A19" s="16" t="s">
        <v>57</v>
      </c>
      <c r="B19" s="17" t="s">
        <v>58</v>
      </c>
      <c r="C19" s="17" t="s">
        <v>46</v>
      </c>
      <c r="D19" s="3">
        <v>0.15</v>
      </c>
      <c r="E19" s="2" t="s">
        <v>33</v>
      </c>
      <c r="F19" s="32">
        <f t="shared" si="0"/>
        <v>0.6</v>
      </c>
      <c r="G19" s="17" t="s">
        <v>59</v>
      </c>
    </row>
    <row r="21" spans="1:7" ht="15.75" thickBot="1" x14ac:dyDescent="0.3"/>
    <row r="22" spans="1:7" ht="32.25" customHeight="1" thickBot="1" x14ac:dyDescent="0.3">
      <c r="A22" s="24" t="s">
        <v>66</v>
      </c>
      <c r="B22" s="26"/>
      <c r="C22" s="25"/>
      <c r="E22" s="24" t="s">
        <v>60</v>
      </c>
      <c r="F22" s="25"/>
    </row>
    <row r="23" spans="1:7" x14ac:dyDescent="0.25">
      <c r="A23" s="30"/>
      <c r="B23" s="21" t="s">
        <v>61</v>
      </c>
      <c r="C23" s="22"/>
      <c r="E23" s="23" t="s">
        <v>6</v>
      </c>
      <c r="F23" s="23" t="s">
        <v>62</v>
      </c>
    </row>
    <row r="24" spans="1:7" x14ac:dyDescent="0.25">
      <c r="A24" s="27"/>
      <c r="B24" s="20" t="s">
        <v>63</v>
      </c>
      <c r="C24" s="10"/>
      <c r="E24" s="8" t="s">
        <v>64</v>
      </c>
      <c r="F24" s="2">
        <v>1</v>
      </c>
    </row>
    <row r="25" spans="1:7" x14ac:dyDescent="0.25">
      <c r="A25" s="28"/>
      <c r="B25" s="20" t="s">
        <v>65</v>
      </c>
      <c r="C25" s="10"/>
      <c r="E25" s="8" t="s">
        <v>16</v>
      </c>
      <c r="F25" s="2">
        <v>2</v>
      </c>
    </row>
    <row r="26" spans="1:7" x14ac:dyDescent="0.25">
      <c r="E26" s="8" t="s">
        <v>12</v>
      </c>
      <c r="F26" s="2">
        <v>3</v>
      </c>
    </row>
    <row r="27" spans="1:7" x14ac:dyDescent="0.25">
      <c r="E27" s="8" t="s">
        <v>33</v>
      </c>
      <c r="F27" s="2">
        <v>4</v>
      </c>
    </row>
    <row r="29" spans="1:7" ht="23.85" customHeight="1" x14ac:dyDescent="0.25">
      <c r="A29" s="1"/>
      <c r="B29" s="1"/>
      <c r="C29" s="1"/>
      <c r="D29" s="1"/>
      <c r="E29" s="1"/>
      <c r="F29" s="1"/>
      <c r="G29" s="1"/>
    </row>
  </sheetData>
  <mergeCells count="6">
    <mergeCell ref="A1:G1"/>
    <mergeCell ref="A2:G2"/>
    <mergeCell ref="A29:G29"/>
    <mergeCell ref="A3:G3"/>
    <mergeCell ref="A22:C22"/>
    <mergeCell ref="E22:F22"/>
  </mergeCells>
  <conditionalFormatting sqref="F5:F19">
    <cfRule type="cellIs" dxfId="2" priority="2" operator="greaterThanOrEqual">
      <formula>1</formula>
    </cfRule>
    <cfRule type="cellIs" dxfId="1" priority="3" operator="between">
      <formula>0.5</formula>
      <formula>0.999</formula>
    </cfRule>
    <cfRule type="cellIs" dxfId="0" priority="4" operator="lessThan">
      <formula>0.5</formula>
    </cfRule>
  </conditionalFormatting>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Matriz de riesgo</vt:lpstr>
      <vt:lpstr>'Matriz de riesgo'!Print_Area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LEONARDO EZEQUIEL FIGUEROA ROMAN</cp:lastModifiedBy>
  <cp:revision>0</cp:revision>
  <dcterms:created xsi:type="dcterms:W3CDTF">2026-09-12T13:16:41Z</dcterms:created>
  <dcterms:modified xsi:type="dcterms:W3CDTF">2026-09-12T13:31:35Z</dcterms:modified>
  <dc:language>en-US</dc:language>
</cp:coreProperties>
</file>