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picas" sheetId="1" state="visible" r:id="rId3"/>
    <sheet name="Lista de C.U." sheetId="2" state="visible" r:id="rId4"/>
    <sheet name="Backlog HU" sheetId="3" state="visible" r:id="rId5"/>
    <sheet name="Plan de sprints" sheetId="4" state="visible" r:id="rId6"/>
  </sheets>
  <definedNames>
    <definedName function="false" hidden="true" localSheetId="2" name="_xlnm._FilterDatabase" vbProcedure="false">'Backlog HU'!$A$4:$J$41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<sst xmlns="http://schemas.openxmlformats.org/spreadsheetml/2006/main" count="462" uniqueCount="290">
  <si>
    <t xml:space="preserve">Épicas del producto</t>
  </si>
  <si>
    <t xml:space="preserve">Rumbo SIMCE — Cliente Triskel Edu · Capstone (PTY4614)</t>
  </si>
  <si>
    <t xml:space="preserve">ID</t>
  </si>
  <si>
    <t xml:space="preserve">Épica</t>
  </si>
  <si>
    <t xml:space="preserve">Descripción</t>
  </si>
  <si>
    <t xml:space="preserve">Casos de uso</t>
  </si>
  <si>
    <t xml:space="preserve">N° HU</t>
  </si>
  <si>
    <t xml:space="preserve">Story points</t>
  </si>
  <si>
    <t xml:space="preserve">EP-01</t>
  </si>
  <si>
    <t xml:space="preserve">Acceso y gestión de usuarios</t>
  </si>
  <si>
    <t xml:space="preserve">Autenticación por rol, gestión de perfiles y resguardos básicos de seguridad de la cuenta.</t>
  </si>
  <si>
    <t xml:space="preserve">CU-01, CU-02</t>
  </si>
  <si>
    <t xml:space="preserve">EP-02</t>
  </si>
  <si>
    <t xml:space="preserve">Experiencia de juego y progresión</t>
  </si>
  <si>
    <t xml:space="preserve">Mapa de islas, misiones cortas, respuesta de preguntas, recompensas y visualización de avance del estudiante.</t>
  </si>
  <si>
    <t xml:space="preserve">CU-03, CU-04, CU-05, CU-07</t>
  </si>
  <si>
    <t xml:space="preserve">EP-03</t>
  </si>
  <si>
    <t xml:space="preserve">Motor adaptativo e inteligencia artificial</t>
  </si>
  <si>
    <t xml:space="preserve">Retroalimentación inmediata, calibración de dificultad, detección de patrones de error y reexplicación alternativa.</t>
  </si>
  <si>
    <t xml:space="preserve">CU-06, CU-08, CU-09</t>
  </si>
  <si>
    <t xml:space="preserve">EP-04</t>
  </si>
  <si>
    <t xml:space="preserve">Vinculación y protección de datos</t>
  </si>
  <si>
    <t xml:space="preserve">Vinculación apoderado-estudiante y registro trazable del consentimiento conforme a la Ley N° 21.719.</t>
  </si>
  <si>
    <t xml:space="preserve">CU-10, CU-11</t>
  </si>
  <si>
    <t xml:space="preserve">EP-05</t>
  </si>
  <si>
    <t xml:space="preserve">Reportes y analítica</t>
  </si>
  <si>
    <t xml:space="preserve">Paneles diferenciados de progreso para apoderado y docente, con alertas y diagnóstico grupal.</t>
  </si>
  <si>
    <t xml:space="preserve">CU-12, CU-13</t>
  </si>
  <si>
    <t xml:space="preserve">TOTAL</t>
  </si>
  <si>
    <t xml:space="preserve">Lista de casos de uso</t>
  </si>
  <si>
    <t xml:space="preserve">Trazabilidad entre casos de uso, requerimientos, épicas e historias de usuario</t>
  </si>
  <si>
    <t xml:space="preserve">Caso de uso</t>
  </si>
  <si>
    <t xml:space="preserve">Actores</t>
  </si>
  <si>
    <t xml:space="preserve">RF asociados</t>
  </si>
  <si>
    <t xml:space="preserve">CU-01</t>
  </si>
  <si>
    <t xml:space="preserve">Iniciar sesión</t>
  </si>
  <si>
    <t xml:space="preserve">Estudiante, Apoderado, Docente</t>
  </si>
  <si>
    <t xml:space="preserve">RF10</t>
  </si>
  <si>
    <t xml:space="preserve">CU-02</t>
  </si>
  <si>
    <t xml:space="preserve">Gestionar perfil</t>
  </si>
  <si>
    <t xml:space="preserve">CU-03</t>
  </si>
  <si>
    <t xml:space="preserve">Avanzar en el mapa de islas</t>
  </si>
  <si>
    <t xml:space="preserve">Estudiante</t>
  </si>
  <si>
    <t xml:space="preserve">RF01, RF06</t>
  </si>
  <si>
    <t xml:space="preserve">CU-04</t>
  </si>
  <si>
    <t xml:space="preserve">Jugar misión</t>
  </si>
  <si>
    <t xml:space="preserve">RF01, RF02, RF06, RF09</t>
  </si>
  <si>
    <t xml:space="preserve">CU-05</t>
  </si>
  <si>
    <t xml:space="preserve">Responder pregunta</t>
  </si>
  <si>
    <t xml:space="preserve">RF02, RF04</t>
  </si>
  <si>
    <t xml:space="preserve">CU-06</t>
  </si>
  <si>
    <t xml:space="preserve">Recibir retroalimentación y ajuste de dificultad</t>
  </si>
  <si>
    <t xml:space="preserve">Estudiante, Servicio de IA</t>
  </si>
  <si>
    <t xml:space="preserve">RF03, RF04</t>
  </si>
  <si>
    <t xml:space="preserve">CU-07</t>
  </si>
  <si>
    <t xml:space="preserve">Ver progreso y recompensas</t>
  </si>
  <si>
    <t xml:space="preserve">RF06, RF09</t>
  </si>
  <si>
    <t xml:space="preserve">CU-08</t>
  </si>
  <si>
    <t xml:space="preserve">Detectar patrón de error</t>
  </si>
  <si>
    <t xml:space="preserve">Servicio de IA</t>
  </si>
  <si>
    <t xml:space="preserve">RF05</t>
  </si>
  <si>
    <t xml:space="preserve">CU-09</t>
  </si>
  <si>
    <t xml:space="preserve">Generar reexplicación alternativa</t>
  </si>
  <si>
    <t xml:space="preserve">CU-10</t>
  </si>
  <si>
    <t xml:space="preserve">Vincular estudiante</t>
  </si>
  <si>
    <t xml:space="preserve">Apoderado</t>
  </si>
  <si>
    <t xml:space="preserve">RF11</t>
  </si>
  <si>
    <t xml:space="preserve">CU-11</t>
  </si>
  <si>
    <t xml:space="preserve">Registrar consentimiento</t>
  </si>
  <si>
    <t xml:space="preserve">RF12</t>
  </si>
  <si>
    <t xml:space="preserve">CU-12</t>
  </si>
  <si>
    <t xml:space="preserve">Ver progreso del estudiante</t>
  </si>
  <si>
    <t xml:space="preserve">RF07</t>
  </si>
  <si>
    <t xml:space="preserve">CU-13</t>
  </si>
  <si>
    <t xml:space="preserve">Ver progreso del curso</t>
  </si>
  <si>
    <t xml:space="preserve">Docente</t>
  </si>
  <si>
    <t xml:space="preserve">RF08</t>
  </si>
  <si>
    <t xml:space="preserve">Product backlog — historias de usuario</t>
  </si>
  <si>
    <t xml:space="preserve">Formato: Como &lt;rol&gt; quiero &lt;funcionalidad&gt; para &lt;beneficio&gt;</t>
  </si>
  <si>
    <t xml:space="preserve">C.U.</t>
  </si>
  <si>
    <t xml:space="preserve">Como… (rol)</t>
  </si>
  <si>
    <t xml:space="preserve">quiero… (funcionalidad)</t>
  </si>
  <si>
    <t xml:space="preserve">para… (beneficio)</t>
  </si>
  <si>
    <t xml:space="preserve">Criterios de aceptación</t>
  </si>
  <si>
    <t xml:space="preserve">Prioridad</t>
  </si>
  <si>
    <t xml:space="preserve">SP</t>
  </si>
  <si>
    <t xml:space="preserve">Sprint</t>
  </si>
  <si>
    <t xml:space="preserve">HU-01</t>
  </si>
  <si>
    <t xml:space="preserve">Usuario registrado</t>
  </si>
  <si>
    <t xml:space="preserve">iniciar sesión con mis credenciales</t>
  </si>
  <si>
    <t xml:space="preserve">acceder a las funcionalidades de mi rol</t>
  </si>
  <si>
    <t xml:space="preserve">Dado un usuario válido, al ingresar credenciales correctas accede a la pantalla principal de su rol. Credenciales incorrectas muestran mensaje de error sin revelar cuál dato falló.</t>
  </si>
  <si>
    <t xml:space="preserve">Alta</t>
  </si>
  <si>
    <t xml:space="preserve">HU-02</t>
  </si>
  <si>
    <t xml:space="preserve">recuperar mi contraseña</t>
  </si>
  <si>
    <t xml:space="preserve">volver a entrar si la olvido</t>
  </si>
  <si>
    <t xml:space="preserve">El sistema envía un enlace de recuperación al correo registrado. El enlace expira tras el plazo definido y solo puede usarse una vez.</t>
  </si>
  <si>
    <t xml:space="preserve">HU-03</t>
  </si>
  <si>
    <t xml:space="preserve">Estudiante de 4° básico</t>
  </si>
  <si>
    <t xml:space="preserve">entrar con un acceso simple y visual</t>
  </si>
  <si>
    <t xml:space="preserve">poder ingresar sin ayuda de un adulto</t>
  </si>
  <si>
    <t xml:space="preserve">El acceso del estudiante usa íconos grandes y máximo dos pasos. Un niño de 9 años completa el ingreso sin asistencia en la prueba de usabilidad.</t>
  </si>
  <si>
    <t xml:space="preserve">HU-04</t>
  </si>
  <si>
    <t xml:space="preserve">Responsable del sistema</t>
  </si>
  <si>
    <t xml:space="preserve">que la cuenta se bloquee tras varios intentos fallidos</t>
  </si>
  <si>
    <t xml:space="preserve">proteger las cuentas de accesos no autorizados</t>
  </si>
  <si>
    <t xml:space="preserve">Tras el número de intentos configurado la cuenta se bloquea temporalmente y se informa el tiempo de espera. El bloqueo queda registrado.</t>
  </si>
  <si>
    <t xml:space="preserve">Media</t>
  </si>
  <si>
    <t xml:space="preserve">HU-05</t>
  </si>
  <si>
    <t xml:space="preserve">Usuario autenticado</t>
  </si>
  <si>
    <t xml:space="preserve">consultar los datos de mi perfil</t>
  </si>
  <si>
    <t xml:space="preserve">verificar que mi información esté correcta</t>
  </si>
  <si>
    <t xml:space="preserve">El sistema muestra los datos del perfil según el rol. No se exponen datos de otros usuarios.</t>
  </si>
  <si>
    <t xml:space="preserve">HU-06</t>
  </si>
  <si>
    <t xml:space="preserve">editar los datos de mi perfil</t>
  </si>
  <si>
    <t xml:space="preserve">mantener mi información actualizada</t>
  </si>
  <si>
    <t xml:space="preserve">Los campos editables dependen del rol. Datos inválidos se marcan y no se guardan. El cambio se confirma en pantalla.</t>
  </si>
  <si>
    <t xml:space="preserve">HU-07</t>
  </si>
  <si>
    <t xml:space="preserve">personalizar mi avatar</t>
  </si>
  <si>
    <t xml:space="preserve">sentir que el recorrido es mío</t>
  </si>
  <si>
    <t xml:space="preserve">El estudiante selecciona entre las opciones disponibles y el avatar se refleja en el mapa de islas.</t>
  </si>
  <si>
    <t xml:space="preserve">Baja</t>
  </si>
  <si>
    <t xml:space="preserve">HU-08</t>
  </si>
  <si>
    <t xml:space="preserve">ver el mapa de islas con mi avance</t>
  </si>
  <si>
    <t xml:space="preserve">saber dónde voy y qué me falta</t>
  </si>
  <si>
    <t xml:space="preserve">El mapa muestra las cinco islas con su estado: completada, en curso o bloqueada. El estado refleja el avance real registrado por eje.</t>
  </si>
  <si>
    <t xml:space="preserve">HU-09</t>
  </si>
  <si>
    <t xml:space="preserve">seleccionar una isla y ver sus misiones</t>
  </si>
  <si>
    <t xml:space="preserve">elegir qué quiero practicar</t>
  </si>
  <si>
    <t xml:space="preserve">Al seleccionar una isla habilitada se listan sus misiones, distinguiendo las completadas de las pendientes.</t>
  </si>
  <si>
    <t xml:space="preserve">HU-10</t>
  </si>
  <si>
    <t xml:space="preserve">desbloquear una isla nueva al cumplir el requisito</t>
  </si>
  <si>
    <t xml:space="preserve">tener una meta clara que perseguir</t>
  </si>
  <si>
    <t xml:space="preserve">Al cumplir el requisito definido, la isla siguiente cambia a estado habilitado y se informa al estudiante con una animación breve.</t>
  </si>
  <si>
    <t xml:space="preserve">HU-11</t>
  </si>
  <si>
    <t xml:space="preserve">jugar una misión corta de 5 a 8 minutos</t>
  </si>
  <si>
    <t xml:space="preserve">practicar sin cansarme</t>
  </si>
  <si>
    <t xml:space="preserve">La misión carga preguntas del eje y nivel correspondientes, registra la sesión con fecha y duración, y cierra con un resumen. La duración media se mantiene en el rango definido.</t>
  </si>
  <si>
    <t xml:space="preserve">HU-12</t>
  </si>
  <si>
    <t xml:space="preserve">retomar una misión que dejé incompleta</t>
  </si>
  <si>
    <t xml:space="preserve">no perder lo que ya había avanzado</t>
  </si>
  <si>
    <t xml:space="preserve">Si la aplicación se cierra durante una misión, al reingresar el sistema ofrece continuar desde la última pregunta respondida.</t>
  </si>
  <si>
    <t xml:space="preserve">HU-13</t>
  </si>
  <si>
    <t xml:space="preserve">recibir una recompensa al completar una misión</t>
  </si>
  <si>
    <t xml:space="preserve">sentir que mi esfuerzo tiene un resultado visible</t>
  </si>
  <si>
    <t xml:space="preserve">Al completar la misión se otorga la recompensa asociada y queda disponible en el perfil del estudiante.</t>
  </si>
  <si>
    <t xml:space="preserve">HU-14</t>
  </si>
  <si>
    <t xml:space="preserve">responder una pregunta y saber de inmediato si acerté</t>
  </si>
  <si>
    <t xml:space="preserve">corregir mientras todavía recuerdo cómo lo pensé</t>
  </si>
  <si>
    <t xml:space="preserve">Al confirmar la respuesta el sistema la valida y muestra el resultado con su explicación asociada.</t>
  </si>
  <si>
    <t xml:space="preserve">HU-15</t>
  </si>
  <si>
    <t xml:space="preserve">escuchar el enunciado de la pregunta</t>
  </si>
  <si>
    <t xml:space="preserve">entenderla aunque me cueste leer</t>
  </si>
  <si>
    <t xml:space="preserve">Cada ítem cuenta con apoyo de audio activable. Cumple el requisito de accesibilidad RNF08.</t>
  </si>
  <si>
    <t xml:space="preserve">HU-16</t>
  </si>
  <si>
    <t xml:space="preserve">Equipo de desarrollo</t>
  </si>
  <si>
    <t xml:space="preserve">registrar cada respuesta con su tiempo y tipo de error</t>
  </si>
  <si>
    <t xml:space="preserve">alimentar el análisis de progreso y de patrones</t>
  </si>
  <si>
    <t xml:space="preserve">Cada respuesta queda trazada a estudiante, pregunta, eje y sesión, con tiempo empleado y clasificación de error cuando corresponde.</t>
  </si>
  <si>
    <t xml:space="preserve">HU-17</t>
  </si>
  <si>
    <t xml:space="preserve">recibir retroalimentación inmediata</t>
  </si>
  <si>
    <t xml:space="preserve">entender el error en el momento</t>
  </si>
  <si>
    <t xml:space="preserve">La retroalimentación se presenta en menos de 2 segundos en conexión móvil estándar (RNF02).</t>
  </si>
  <si>
    <t xml:space="preserve">HU-18</t>
  </si>
  <si>
    <t xml:space="preserve">que la dificultad se ajuste a cómo me está yendo</t>
  </si>
  <si>
    <t xml:space="preserve">no aburrirme ni frustrarme</t>
  </si>
  <si>
    <t xml:space="preserve">El motor recalcula el nivel según el desempeño reciente en el eje. El nivel aplicado queda registrado en la sesión para su verificación.</t>
  </si>
  <si>
    <t xml:space="preserve">HU-19</t>
  </si>
  <si>
    <t xml:space="preserve">seguir jugando aunque el servicio de IA falle</t>
  </si>
  <si>
    <t xml:space="preserve">no quedarme detenido a mitad de una misión</t>
  </si>
  <si>
    <t xml:space="preserve">Si el servicio no responde dentro del tiempo de espera, el sistema mantiene el nivel actual con reglas propias y la misión continúa sin interrupción.</t>
  </si>
  <si>
    <t xml:space="preserve">HU-20</t>
  </si>
  <si>
    <t xml:space="preserve">ver mi avance por cada isla</t>
  </si>
  <si>
    <t xml:space="preserve">saber en qué estoy mejorando</t>
  </si>
  <si>
    <t xml:space="preserve">El avance se muestra por los cinco ejes en formato visual, sin lenguaje técnico y adecuado a la edad.</t>
  </si>
  <si>
    <t xml:space="preserve">HU-21</t>
  </si>
  <si>
    <t xml:space="preserve">ver las recompensas que he ganado</t>
  </si>
  <si>
    <t xml:space="preserve">mantener las ganas de seguir</t>
  </si>
  <si>
    <t xml:space="preserve">Se listan las recompensas e hitos obtenidos con su fecha de obtención.</t>
  </si>
  <si>
    <t xml:space="preserve">HU-22</t>
  </si>
  <si>
    <t xml:space="preserve">identificar errores que se repiten por la misma causa</t>
  </si>
  <si>
    <t xml:space="preserve">poder intervenir antes de que se consoliden</t>
  </si>
  <si>
    <t xml:space="preserve">Al alcanzar el criterio de error repetido acordado con el cliente, el sistema registra un patrón asociado al estudiante y al eje.</t>
  </si>
  <si>
    <t xml:space="preserve">HU-23</t>
  </si>
  <si>
    <t xml:space="preserve">registrar el patrón de error detectado</t>
  </si>
  <si>
    <t xml:space="preserve">reutilizarlo en la reexplicación y en las alertas</t>
  </si>
  <si>
    <t xml:space="preserve">El patrón queda persistido con estudiante, eje, tipo de error y estrategias ya aplicadas.</t>
  </si>
  <si>
    <t xml:space="preserve">HU-24</t>
  </si>
  <si>
    <t xml:space="preserve">que me expliquen de otra forma cuando no entiendo</t>
  </si>
  <si>
    <t xml:space="preserve">poder comprenderlo por un camino distinto</t>
  </si>
  <si>
    <t xml:space="preserve">Ante un patrón detectado, el sistema entrega una explicación con una estrategia didáctica distinta a la ya aplicada, en lenguaje adecuado a la edad.</t>
  </si>
  <si>
    <t xml:space="preserve">HU-25</t>
  </si>
  <si>
    <t xml:space="preserve">reutilizar reexplicaciones ya generadas</t>
  </si>
  <si>
    <t xml:space="preserve">acotar el costo y la latencia del servicio de IA</t>
  </si>
  <si>
    <t xml:space="preserve">Antes de llamar al servicio se consulta la caché por patrón y estrategia. Las llamadas al modelo disminuyen de forma medible.</t>
  </si>
  <si>
    <t xml:space="preserve">HU-26</t>
  </si>
  <si>
    <t xml:space="preserve">registrar la estrategia ya aplicada a cada patrón</t>
  </si>
  <si>
    <t xml:space="preserve">evitar repetir la misma explicación</t>
  </si>
  <si>
    <t xml:space="preserve">El patrón se actualiza con la estrategia usada y esa estrategia no se selecciona en la siguiente reexplicación.</t>
  </si>
  <si>
    <t xml:space="preserve">HU-27</t>
  </si>
  <si>
    <t xml:space="preserve">vincular mi cuenta con la de mi hijo o hija</t>
  </si>
  <si>
    <t xml:space="preserve">poder seguir su progreso</t>
  </si>
  <si>
    <t xml:space="preserve">El vínculo se crea mediante código válido y vigente, previa confirmación de los datos y registro del consentimiento.</t>
  </si>
  <si>
    <t xml:space="preserve">HU-28</t>
  </si>
  <si>
    <t xml:space="preserve">vincular a más de un estudiante</t>
  </si>
  <si>
    <t xml:space="preserve">seguir a todos mis hijos desde la misma cuenta</t>
  </si>
  <si>
    <t xml:space="preserve">La cuenta admite múltiples vínculos y permite seleccionar cuál estudiante consultar.</t>
  </si>
  <si>
    <t xml:space="preserve">HU-29</t>
  </si>
  <si>
    <t xml:space="preserve">revisar qué datos se recogen antes de aceptar</t>
  </si>
  <si>
    <t xml:space="preserve">decidir de forma informada</t>
  </si>
  <si>
    <t xml:space="preserve">Antes de aceptar se muestran los datos recogidos, su finalidad y su plazo de conservación, en lenguaje claro.</t>
  </si>
  <si>
    <t xml:space="preserve">HU-30</t>
  </si>
  <si>
    <t xml:space="preserve">dejar registrado mi consentimiento</t>
  </si>
  <si>
    <t xml:space="preserve">cumplir con lo que exige la normativa de datos de menores</t>
  </si>
  <si>
    <t xml:space="preserve">El consentimiento se registra con apoderado, estudiante, versión de los términos, fecha y hora. Sin consentimiento no se habilita el tratamiento de datos.</t>
  </si>
  <si>
    <t xml:space="preserve">HU-31</t>
  </si>
  <si>
    <t xml:space="preserve">revocar el consentimiento cuando lo estime</t>
  </si>
  <si>
    <t xml:space="preserve">mantener el control sobre los datos de mi hijo o hija</t>
  </si>
  <si>
    <t xml:space="preserve">La revocación queda registrada con fecha y hora, suspende el tratamiento y activa el procedimiento de eliminación definido.</t>
  </si>
  <si>
    <t xml:space="preserve">HU-32</t>
  </si>
  <si>
    <t xml:space="preserve">ver el avance de mi hijo o hija por eje</t>
  </si>
  <si>
    <t xml:space="preserve">saber en qué está fallando</t>
  </si>
  <si>
    <t xml:space="preserve">El panel muestra el avance por los cinco ejes en lenguaje no técnico, solo para estudiantes vinculados con consentimiento vigente.</t>
  </si>
  <si>
    <t xml:space="preserve">HU-33</t>
  </si>
  <si>
    <t xml:space="preserve">recibir alertas de dificultades que se repiten</t>
  </si>
  <si>
    <t xml:space="preserve">apoyar a tiempo donde hace falta</t>
  </si>
  <si>
    <t xml:space="preserve">El panel genera una alerta por cada patrón de error registrado, indicando el eje y una sugerencia de apoyo.</t>
  </si>
  <si>
    <t xml:space="preserve">HU-34</t>
  </si>
  <si>
    <t xml:space="preserve">filtrar y exportar el reporte</t>
  </si>
  <si>
    <t xml:space="preserve">compartirlo o revisarlo por período</t>
  </si>
  <si>
    <t xml:space="preserve">El reporte se filtra por período y se exporta en un formato legible fuera de la aplicación.</t>
  </si>
  <si>
    <t xml:space="preserve">HU-35</t>
  </si>
  <si>
    <t xml:space="preserve">ver el avance agregado de mi curso</t>
  </si>
  <si>
    <t xml:space="preserve">tener un diagnóstico grupal</t>
  </si>
  <si>
    <t xml:space="preserve">El panel agrega el avance de todos los estudiantes del curso por eje, sin exponer datos individuales sin consentimiento.</t>
  </si>
  <si>
    <t xml:space="preserve">HU-36</t>
  </si>
  <si>
    <t xml:space="preserve">identificar el eje con mayor dificultad del curso</t>
  </si>
  <si>
    <t xml:space="preserve">focalizar mi planificación de clases</t>
  </si>
  <si>
    <t xml:space="preserve">El sistema destaca el eje con mayor concentración de dificultad, calculado sobre las sesiones registradas del curso.</t>
  </si>
  <si>
    <t xml:space="preserve">HU-37</t>
  </si>
  <si>
    <t xml:space="preserve">revisar el detalle de un estudiante</t>
  </si>
  <si>
    <t xml:space="preserve">apoyar casos puntuales</t>
  </si>
  <si>
    <t xml:space="preserve">El detalle individual solo se muestra para estudiantes cuyo apoderado mantiene consentimiento vigente.</t>
  </si>
  <si>
    <t xml:space="preserve">TOTAL SP</t>
  </si>
  <si>
    <t xml:space="preserve">Planificación por sprint</t>
  </si>
  <si>
    <t xml:space="preserve">Sprints de dos semanas — Scrum adaptado al semestre de la asignatura</t>
  </si>
  <si>
    <t xml:space="preserve">Período</t>
  </si>
  <si>
    <t xml:space="preserve">Objetivo del sprint</t>
  </si>
  <si>
    <t xml:space="preserve">HU comprometidas</t>
  </si>
  <si>
    <t xml:space="preserve">Observaciones</t>
  </si>
  <si>
    <t xml:space="preserve">Sprint 0</t>
  </si>
  <si>
    <t xml:space="preserve">Semanas 1-2</t>
  </si>
  <si>
    <t xml:space="preserve">Definición del proyecto, levantamiento con el cliente y validación de requerimientos.</t>
  </si>
  <si>
    <t xml:space="preserve">— (entrega documental)</t>
  </si>
  <si>
    <t xml:space="preserve">Sprint 1</t>
  </si>
  <si>
    <t xml:space="preserve">Semanas 3-4</t>
  </si>
  <si>
    <t xml:space="preserve">Modelo de datos, API base, autenticación por rol y registro de consentimiento.</t>
  </si>
  <si>
    <t xml:space="preserve">HU-01, HU-02, HU-04, HU-05, HU-06, HU-29, HU-30</t>
  </si>
  <si>
    <t xml:space="preserve">El consentimiento se adelanta al primer sprint porque habilita el tratamiento de datos del estudiante: sin él, los sprints siguientes no pueden persistir datos reales.</t>
  </si>
  <si>
    <t xml:space="preserve">Sprint 2</t>
  </si>
  <si>
    <t xml:space="preserve">Semanas 5-6</t>
  </si>
  <si>
    <t xml:space="preserve">Motor de misiones y banco inicial de preguntas por eje.</t>
  </si>
  <si>
    <t xml:space="preserve">HU-03, HU-11, HU-14, HU-16</t>
  </si>
  <si>
    <t xml:space="preserve">Sprint 3</t>
  </si>
  <si>
    <t xml:space="preserve">Semanas 7-8</t>
  </si>
  <si>
    <t xml:space="preserve">Mapa de progresión y aplicación móvil del estudiante navegable.</t>
  </si>
  <si>
    <t xml:space="preserve">HU-07, HU-08, HU-09, HU-10, HU-12, HU-15, HU-21</t>
  </si>
  <si>
    <t xml:space="preserve">Sprint 4</t>
  </si>
  <si>
    <t xml:space="preserve">Semanas 9-10</t>
  </si>
  <si>
    <t xml:space="preserve">Motor de dificultad adaptativa y retroalimentación inmediata.</t>
  </si>
  <si>
    <t xml:space="preserve">HU-13, HU-17, HU-18, HU-19, HU-20</t>
  </si>
  <si>
    <t xml:space="preserve">Sprint 5</t>
  </si>
  <si>
    <t xml:space="preserve">Semanas 11-12</t>
  </si>
  <si>
    <t xml:space="preserve">Detección de patrones de error y reexplicación alternativa.</t>
  </si>
  <si>
    <t xml:space="preserve">HU-22, HU-23, HU-24, HU-26</t>
  </si>
  <si>
    <t xml:space="preserve">Sprint 6</t>
  </si>
  <si>
    <t xml:space="preserve">Semanas 13-14</t>
  </si>
  <si>
    <t xml:space="preserve">Vinculación del apoderado y panel de reportes del apoderado.</t>
  </si>
  <si>
    <t xml:space="preserve">HU-27, HU-28, HU-31, HU-32, HU-33</t>
  </si>
  <si>
    <t xml:space="preserve">Sprint 7</t>
  </si>
  <si>
    <t xml:space="preserve">Semanas 15-16</t>
  </si>
  <si>
    <t xml:space="preserve">Panel del docente, pruebas con usuarios, correcciones y despliegue.</t>
  </si>
  <si>
    <t xml:space="preserve">HU-25, HU-34, HU-35, HU-36, HU-37</t>
  </si>
  <si>
    <t xml:space="preserve">Las HU de prioridad Baja de este sprint (HU-25, HU-34, HU-37) son las primeras candidatas a postergar si la carga de cierre lo exige.</t>
  </si>
  <si>
    <t xml:space="preserve">Nota metodológica</t>
  </si>
  <si>
    <t xml:space="preserve">• Estimación en story points con escala Fibonacci (1, 2, 3, 5, 8). Los valores son relativos entre historias, no equivalen a horas.</t>
  </si>
  <si>
    <t xml:space="preserve">• Velocidad objetivo estimada: entre 20 y 22 SP por sprint, ajustable en la primera retrospectiva según la velocidad real medida.</t>
  </si>
  <si>
    <t xml:space="preserve">• Los sprints 0 a 7 corresponden a la planificación preliminar declarada en la Tabla 10 del informe de Fase 1.</t>
  </si>
  <si>
    <t xml:space="preserve">• Las historias marcadas con prioridad Baja constituyen el margen de ajuste del alcance ante retrasos o solicitudes nuevas del cliente.</t>
  </si>
  <si>
    <t xml:space="preserve">• Los criterios de aceptación que dependen de reglas de negocio por confirmar con Triskel Edu están redactados de forma genérica y deben actualizarse tras la reunión de validación.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</si>
</sst>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4D"/>
      <name val="Arial"/>
      <family val="0"/>
      <charset val="1"/>
    </font>
    <font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F2F5F7"/>
        <bgColor rgb="FFE8EEF2"/>
      </patternFill>
    </fill>
    <fill>
      <patternFill patternType="solid">
        <fgColor rgb="FFE8EEF2"/>
        <bgColor rgb="FFF2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F"/>
      </left>
      <right style="thin">
        <color rgb="FFBFC9CF"/>
      </right>
      <top style="thin">
        <color rgb="FFBFC9CF"/>
      </top>
      <bottom style="thin">
        <color rgb="FFBFC9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B4D"/>
          <bgColor rgb="FF000000"/>
        </patternFill>
      </fill>
    </dxf>
    <dxf>
      <fill>
        <patternFill patternType="solid">
          <fgColor rgb="FFF2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F"/>
      <rgbColor rgb="FF808080"/>
      <rgbColor rgb="FF9999FF"/>
      <rgbColor rgb="FF993366"/>
      <rgbColor rgb="FFF2F5F7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5.75" hidden="false" customHeight="tru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6" t="n">
        <f aca="false">COUNTIF('Backlog HU'!B:B,A5)</f>
        <v>7</v>
      </c>
      <c r="F5" s="6" t="n">
        <f aca="false">SUMIF('Backlog HU'!B:B,A5,'Backlog HU'!I:I)</f>
        <v>17</v>
      </c>
    </row>
    <row r="6" customFormat="false" ht="45.75" hidden="false" customHeight="true" outlineLevel="0" collapsed="false">
      <c r="A6" s="7" t="s">
        <v>12</v>
      </c>
      <c r="B6" s="8" t="s">
        <v>13</v>
      </c>
      <c r="C6" s="8" t="s">
        <v>14</v>
      </c>
      <c r="D6" s="8" t="s">
        <v>15</v>
      </c>
      <c r="E6" s="9" t="n">
        <f aca="false">COUNTIF('Backlog HU'!B:B,A6)</f>
        <v>11</v>
      </c>
      <c r="F6" s="9" t="n">
        <f aca="false">SUMIF('Backlog HU'!B:B,A6,'Backlog HU'!I:I)</f>
        <v>43</v>
      </c>
    </row>
    <row r="7" customFormat="false" ht="45.75" hidden="false" customHeight="true" outlineLevel="0" collapsed="false">
      <c r="A7" s="4" t="s">
        <v>16</v>
      </c>
      <c r="B7" s="5" t="s">
        <v>17</v>
      </c>
      <c r="C7" s="5" t="s">
        <v>18</v>
      </c>
      <c r="D7" s="5" t="s">
        <v>19</v>
      </c>
      <c r="E7" s="6" t="n">
        <f aca="false">COUNTIF('Backlog HU'!B:B,A7)</f>
        <v>8</v>
      </c>
      <c r="F7" s="6" t="n">
        <f aca="false">SUMIF('Backlog HU'!B:B,A7,'Backlog HU'!I:I)</f>
        <v>43</v>
      </c>
    </row>
    <row r="8" customFormat="false" ht="45.75" hidden="false" customHeight="true" outlineLevel="0" collapsed="false">
      <c r="A8" s="7" t="s">
        <v>20</v>
      </c>
      <c r="B8" s="8" t="s">
        <v>21</v>
      </c>
      <c r="C8" s="8" t="s">
        <v>22</v>
      </c>
      <c r="D8" s="8" t="s">
        <v>23</v>
      </c>
      <c r="E8" s="9" t="n">
        <f aca="false">COUNTIF('Backlog HU'!B:B,A8)</f>
        <v>5</v>
      </c>
      <c r="F8" s="9" t="n">
        <f aca="false">SUMIF('Backlog HU'!B:B,A8,'Backlog HU'!I:I)</f>
        <v>20</v>
      </c>
    </row>
    <row r="9" customFormat="false" ht="45.75" hidden="false" customHeight="true" outlineLevel="0" collapsed="false">
      <c r="A9" s="4" t="s">
        <v>24</v>
      </c>
      <c r="B9" s="5" t="s">
        <v>25</v>
      </c>
      <c r="C9" s="5" t="s">
        <v>26</v>
      </c>
      <c r="D9" s="5" t="s">
        <v>27</v>
      </c>
      <c r="E9" s="6" t="n">
        <f aca="false">COUNTIF('Backlog HU'!B:B,A9)</f>
        <v>6</v>
      </c>
      <c r="F9" s="6" t="n">
        <f aca="false">SUMIF('Backlog HU'!B:B,A9,'Backlog HU'!I:I)</f>
        <v>26</v>
      </c>
    </row>
    <row r="10" customFormat="false" ht="15" hidden="false" customHeight="false" outlineLevel="0" collapsed="false">
      <c r="D10" s="10" t="s">
        <v>28</v>
      </c>
      <c r="E10" s="10" t="n">
        <f aca="false">SUM(E5:E9)</f>
        <v>37</v>
      </c>
      <c r="F10" s="10" t="n">
        <f aca="false">SUM(F5:F9)</f>
        <v>149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13"/>
  </cols>
  <sheetData>
    <row r="1" customFormat="false" ht="19.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 t="s">
        <v>31</v>
      </c>
      <c r="C4" s="3" t="s">
        <v>32</v>
      </c>
      <c r="D4" s="3" t="s">
        <v>33</v>
      </c>
      <c r="E4" s="3" t="s">
        <v>3</v>
      </c>
      <c r="F4" s="3" t="s">
        <v>6</v>
      </c>
      <c r="G4" s="3" t="s">
        <v>7</v>
      </c>
    </row>
    <row r="5" customFormat="false" ht="30" hidden="false" customHeight="true" outlineLevel="0" collapsed="false">
      <c r="A5" s="4" t="s">
        <v>34</v>
      </c>
      <c r="B5" s="5" t="s">
        <v>35</v>
      </c>
      <c r="C5" s="5" t="s">
        <v>36</v>
      </c>
      <c r="D5" s="5" t="s">
        <v>37</v>
      </c>
      <c r="E5" s="6" t="s">
        <v>8</v>
      </c>
      <c r="F5" s="6" t="n">
        <f aca="false">COUNTIF('Backlog HU'!C:C,A5)</f>
        <v>4</v>
      </c>
      <c r="G5" s="6" t="n">
        <f aca="false">SUMIF('Backlog HU'!C:C,A5,'Backlog HU'!I:I)</f>
        <v>10</v>
      </c>
    </row>
    <row r="6" customFormat="false" ht="30" hidden="false" customHeight="true" outlineLevel="0" collapsed="false">
      <c r="A6" s="7" t="s">
        <v>38</v>
      </c>
      <c r="B6" s="8" t="s">
        <v>39</v>
      </c>
      <c r="C6" s="8" t="s">
        <v>36</v>
      </c>
      <c r="D6" s="8" t="s">
        <v>37</v>
      </c>
      <c r="E6" s="9" t="s">
        <v>8</v>
      </c>
      <c r="F6" s="9" t="n">
        <f aca="false">COUNTIF('Backlog HU'!C:C,A6)</f>
        <v>3</v>
      </c>
      <c r="G6" s="9" t="n">
        <f aca="false">SUMIF('Backlog HU'!C:C,A6,'Backlog HU'!I:I)</f>
        <v>7</v>
      </c>
    </row>
    <row r="7" customFormat="false" ht="30" hidden="false" customHeight="true" outlineLevel="0" collapsed="false">
      <c r="A7" s="4" t="s">
        <v>40</v>
      </c>
      <c r="B7" s="5" t="s">
        <v>41</v>
      </c>
      <c r="C7" s="5" t="s">
        <v>42</v>
      </c>
      <c r="D7" s="5" t="s">
        <v>43</v>
      </c>
      <c r="E7" s="6" t="s">
        <v>12</v>
      </c>
      <c r="F7" s="6" t="n">
        <f aca="false">COUNTIF('Backlog HU'!C:C,A7)</f>
        <v>3</v>
      </c>
      <c r="G7" s="6" t="n">
        <f aca="false">SUMIF('Backlog HU'!C:C,A7,'Backlog HU'!I:I)</f>
        <v>11</v>
      </c>
    </row>
    <row r="8" customFormat="false" ht="30" hidden="false" customHeight="true" outlineLevel="0" collapsed="false">
      <c r="A8" s="7" t="s">
        <v>44</v>
      </c>
      <c r="B8" s="8" t="s">
        <v>45</v>
      </c>
      <c r="C8" s="8" t="s">
        <v>42</v>
      </c>
      <c r="D8" s="8" t="s">
        <v>46</v>
      </c>
      <c r="E8" s="9" t="s">
        <v>12</v>
      </c>
      <c r="F8" s="9" t="n">
        <f aca="false">COUNTIF('Backlog HU'!C:C,A8)</f>
        <v>3</v>
      </c>
      <c r="G8" s="9" t="n">
        <f aca="false">SUMIF('Backlog HU'!C:C,A8,'Backlog HU'!I:I)</f>
        <v>14</v>
      </c>
    </row>
    <row r="9" customFormat="false" ht="30" hidden="false" customHeight="true" outlineLevel="0" collapsed="false">
      <c r="A9" s="4" t="s">
        <v>47</v>
      </c>
      <c r="B9" s="5" t="s">
        <v>48</v>
      </c>
      <c r="C9" s="5" t="s">
        <v>42</v>
      </c>
      <c r="D9" s="5" t="s">
        <v>49</v>
      </c>
      <c r="E9" s="6" t="s">
        <v>12</v>
      </c>
      <c r="F9" s="6" t="n">
        <f aca="false">COUNTIF('Backlog HU'!C:C,A9)</f>
        <v>3</v>
      </c>
      <c r="G9" s="6" t="n">
        <f aca="false">SUMIF('Backlog HU'!C:C,A9,'Backlog HU'!I:I)</f>
        <v>13</v>
      </c>
    </row>
    <row r="10" customFormat="false" ht="30" hidden="false" customHeight="true" outlineLevel="0" collapsed="false">
      <c r="A10" s="7" t="s">
        <v>50</v>
      </c>
      <c r="B10" s="8" t="s">
        <v>51</v>
      </c>
      <c r="C10" s="8" t="s">
        <v>52</v>
      </c>
      <c r="D10" s="8" t="s">
        <v>53</v>
      </c>
      <c r="E10" s="9" t="s">
        <v>16</v>
      </c>
      <c r="F10" s="9" t="n">
        <f aca="false">COUNTIF('Backlog HU'!C:C,A10)</f>
        <v>3</v>
      </c>
      <c r="G10" s="9" t="n">
        <f aca="false">SUMIF('Backlog HU'!C:C,A10,'Backlog HU'!I:I)</f>
        <v>16</v>
      </c>
    </row>
    <row r="11" customFormat="false" ht="30" hidden="false" customHeight="true" outlineLevel="0" collapsed="false">
      <c r="A11" s="4" t="s">
        <v>54</v>
      </c>
      <c r="B11" s="5" t="s">
        <v>55</v>
      </c>
      <c r="C11" s="5" t="s">
        <v>42</v>
      </c>
      <c r="D11" s="5" t="s">
        <v>56</v>
      </c>
      <c r="E11" s="6" t="s">
        <v>12</v>
      </c>
      <c r="F11" s="6" t="n">
        <f aca="false">COUNTIF('Backlog HU'!C:C,A11)</f>
        <v>2</v>
      </c>
      <c r="G11" s="6" t="n">
        <f aca="false">SUMIF('Backlog HU'!C:C,A11,'Backlog HU'!I:I)</f>
        <v>5</v>
      </c>
    </row>
    <row r="12" customFormat="false" ht="30" hidden="false" customHeight="true" outlineLevel="0" collapsed="false">
      <c r="A12" s="7" t="s">
        <v>57</v>
      </c>
      <c r="B12" s="8" t="s">
        <v>58</v>
      </c>
      <c r="C12" s="8" t="s">
        <v>59</v>
      </c>
      <c r="D12" s="8" t="s">
        <v>60</v>
      </c>
      <c r="E12" s="9" t="s">
        <v>16</v>
      </c>
      <c r="F12" s="9" t="n">
        <f aca="false">COUNTIF('Backlog HU'!C:C,A12)</f>
        <v>2</v>
      </c>
      <c r="G12" s="9" t="n">
        <f aca="false">SUMIF('Backlog HU'!C:C,A12,'Backlog HU'!I:I)</f>
        <v>11</v>
      </c>
    </row>
    <row r="13" customFormat="false" ht="30" hidden="false" customHeight="true" outlineLevel="0" collapsed="false">
      <c r="A13" s="4" t="s">
        <v>61</v>
      </c>
      <c r="B13" s="5" t="s">
        <v>62</v>
      </c>
      <c r="C13" s="5" t="s">
        <v>52</v>
      </c>
      <c r="D13" s="5" t="s">
        <v>60</v>
      </c>
      <c r="E13" s="6" t="s">
        <v>16</v>
      </c>
      <c r="F13" s="6" t="n">
        <f aca="false">COUNTIF('Backlog HU'!C:C,A13)</f>
        <v>3</v>
      </c>
      <c r="G13" s="6" t="n">
        <f aca="false">SUMIF('Backlog HU'!C:C,A13,'Backlog HU'!I:I)</f>
        <v>16</v>
      </c>
    </row>
    <row r="14" customFormat="false" ht="30" hidden="false" customHeight="true" outlineLevel="0" collapsed="false">
      <c r="A14" s="7" t="s">
        <v>63</v>
      </c>
      <c r="B14" s="8" t="s">
        <v>64</v>
      </c>
      <c r="C14" s="8" t="s">
        <v>65</v>
      </c>
      <c r="D14" s="8" t="s">
        <v>66</v>
      </c>
      <c r="E14" s="9" t="s">
        <v>20</v>
      </c>
      <c r="F14" s="9" t="n">
        <f aca="false">COUNTIF('Backlog HU'!C:C,A14)</f>
        <v>2</v>
      </c>
      <c r="G14" s="9" t="n">
        <f aca="false">SUMIF('Backlog HU'!C:C,A14,'Backlog HU'!I:I)</f>
        <v>7</v>
      </c>
    </row>
    <row r="15" customFormat="false" ht="30" hidden="false" customHeight="true" outlineLevel="0" collapsed="false">
      <c r="A15" s="4" t="s">
        <v>67</v>
      </c>
      <c r="B15" s="5" t="s">
        <v>68</v>
      </c>
      <c r="C15" s="5" t="s">
        <v>65</v>
      </c>
      <c r="D15" s="5" t="s">
        <v>69</v>
      </c>
      <c r="E15" s="6" t="s">
        <v>20</v>
      </c>
      <c r="F15" s="6" t="n">
        <f aca="false">COUNTIF('Backlog HU'!C:C,A15)</f>
        <v>3</v>
      </c>
      <c r="G15" s="6" t="n">
        <f aca="false">SUMIF('Backlog HU'!C:C,A15,'Backlog HU'!I:I)</f>
        <v>13</v>
      </c>
    </row>
    <row r="16" customFormat="false" ht="30" hidden="false" customHeight="true" outlineLevel="0" collapsed="false">
      <c r="A16" s="7" t="s">
        <v>70</v>
      </c>
      <c r="B16" s="8" t="s">
        <v>71</v>
      </c>
      <c r="C16" s="8" t="s">
        <v>65</v>
      </c>
      <c r="D16" s="8" t="s">
        <v>72</v>
      </c>
      <c r="E16" s="9" t="s">
        <v>24</v>
      </c>
      <c r="F16" s="9" t="n">
        <f aca="false">COUNTIF('Backlog HU'!C:C,A16)</f>
        <v>3</v>
      </c>
      <c r="G16" s="9" t="n">
        <f aca="false">SUMIF('Backlog HU'!C:C,A16,'Backlog HU'!I:I)</f>
        <v>13</v>
      </c>
    </row>
    <row r="17" customFormat="false" ht="30" hidden="false" customHeight="true" outlineLevel="0" collapsed="false">
      <c r="A17" s="4" t="s">
        <v>73</v>
      </c>
      <c r="B17" s="5" t="s">
        <v>74</v>
      </c>
      <c r="C17" s="5" t="s">
        <v>75</v>
      </c>
      <c r="D17" s="5" t="s">
        <v>76</v>
      </c>
      <c r="E17" s="6" t="s">
        <v>24</v>
      </c>
      <c r="F17" s="6" t="n">
        <f aca="false">COUNTIF('Backlog HU'!C:C,A17)</f>
        <v>3</v>
      </c>
      <c r="G17" s="6" t="n">
        <f aca="false">SUMIF('Backlog HU'!C:C,A17,'Backlog HU'!I:I)</f>
        <v>13</v>
      </c>
    </row>
    <row r="18" customFormat="false" ht="15" hidden="false" customHeight="false" outlineLevel="0" collapsed="false">
      <c r="E18" s="10" t="s">
        <v>28</v>
      </c>
      <c r="F18" s="10" t="n">
        <f aca="false">SUM(F5:F17)</f>
        <v>37</v>
      </c>
      <c r="G18" s="10" t="n">
        <f aca="false">SUM(G5:G17)</f>
        <v>149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36"/>
    <col collapsed="false" customWidth="true" hidden="false" outlineLevel="0" max="7" min="7" style="0" width="62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9"/>
  </cols>
  <sheetData>
    <row r="1" customFormat="false" ht="19.5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78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</row>
    <row r="5" customFormat="false" ht="55.5" hidden="false" customHeight="true" outlineLevel="0" collapsed="false">
      <c r="A5" s="4" t="s">
        <v>87</v>
      </c>
      <c r="B5" s="6" t="s">
        <v>8</v>
      </c>
      <c r="C5" s="6" t="s">
        <v>34</v>
      </c>
      <c r="D5" s="5" t="s">
        <v>88</v>
      </c>
      <c r="E5" s="5" t="s">
        <v>89</v>
      </c>
      <c r="F5" s="5" t="s">
        <v>90</v>
      </c>
      <c r="G5" s="5" t="s">
        <v>91</v>
      </c>
      <c r="H5" s="6" t="s">
        <v>92</v>
      </c>
      <c r="I5" s="6" t="n">
        <v>3</v>
      </c>
      <c r="J5" s="6" t="n">
        <v>1</v>
      </c>
    </row>
    <row r="6" customFormat="false" ht="55.5" hidden="false" customHeight="true" outlineLevel="0" collapsed="false">
      <c r="A6" s="7" t="s">
        <v>93</v>
      </c>
      <c r="B6" s="9" t="s">
        <v>8</v>
      </c>
      <c r="C6" s="9" t="s">
        <v>34</v>
      </c>
      <c r="D6" s="8" t="s">
        <v>88</v>
      </c>
      <c r="E6" s="8" t="s">
        <v>94</v>
      </c>
      <c r="F6" s="8" t="s">
        <v>95</v>
      </c>
      <c r="G6" s="8" t="s">
        <v>96</v>
      </c>
      <c r="H6" s="9" t="s">
        <v>92</v>
      </c>
      <c r="I6" s="9" t="n">
        <v>2</v>
      </c>
      <c r="J6" s="9" t="n">
        <v>1</v>
      </c>
    </row>
    <row r="7" customFormat="false" ht="55.5" hidden="false" customHeight="true" outlineLevel="0" collapsed="false">
      <c r="A7" s="4" t="s">
        <v>97</v>
      </c>
      <c r="B7" s="6" t="s">
        <v>8</v>
      </c>
      <c r="C7" s="6" t="s">
        <v>34</v>
      </c>
      <c r="D7" s="5" t="s">
        <v>98</v>
      </c>
      <c r="E7" s="5" t="s">
        <v>99</v>
      </c>
      <c r="F7" s="5" t="s">
        <v>100</v>
      </c>
      <c r="G7" s="5" t="s">
        <v>101</v>
      </c>
      <c r="H7" s="6" t="s">
        <v>92</v>
      </c>
      <c r="I7" s="6" t="n">
        <v>3</v>
      </c>
      <c r="J7" s="6" t="n">
        <v>2</v>
      </c>
    </row>
    <row r="8" customFormat="false" ht="55.5" hidden="false" customHeight="true" outlineLevel="0" collapsed="false">
      <c r="A8" s="7" t="s">
        <v>102</v>
      </c>
      <c r="B8" s="9" t="s">
        <v>8</v>
      </c>
      <c r="C8" s="9" t="s">
        <v>34</v>
      </c>
      <c r="D8" s="8" t="s">
        <v>103</v>
      </c>
      <c r="E8" s="8" t="s">
        <v>104</v>
      </c>
      <c r="F8" s="8" t="s">
        <v>105</v>
      </c>
      <c r="G8" s="8" t="s">
        <v>106</v>
      </c>
      <c r="H8" s="9" t="s">
        <v>107</v>
      </c>
      <c r="I8" s="9" t="n">
        <v>2</v>
      </c>
      <c r="J8" s="9" t="n">
        <v>1</v>
      </c>
    </row>
    <row r="9" customFormat="false" ht="55.5" hidden="false" customHeight="true" outlineLevel="0" collapsed="false">
      <c r="A9" s="4" t="s">
        <v>108</v>
      </c>
      <c r="B9" s="6" t="s">
        <v>8</v>
      </c>
      <c r="C9" s="6" t="s">
        <v>38</v>
      </c>
      <c r="D9" s="5" t="s">
        <v>109</v>
      </c>
      <c r="E9" s="5" t="s">
        <v>110</v>
      </c>
      <c r="F9" s="5" t="s">
        <v>111</v>
      </c>
      <c r="G9" s="5" t="s">
        <v>112</v>
      </c>
      <c r="H9" s="6" t="s">
        <v>107</v>
      </c>
      <c r="I9" s="6" t="n">
        <v>2</v>
      </c>
      <c r="J9" s="6" t="n">
        <v>1</v>
      </c>
    </row>
    <row r="10" customFormat="false" ht="55.5" hidden="false" customHeight="true" outlineLevel="0" collapsed="false">
      <c r="A10" s="7" t="s">
        <v>113</v>
      </c>
      <c r="B10" s="9" t="s">
        <v>8</v>
      </c>
      <c r="C10" s="9" t="s">
        <v>38</v>
      </c>
      <c r="D10" s="8" t="s">
        <v>109</v>
      </c>
      <c r="E10" s="8" t="s">
        <v>114</v>
      </c>
      <c r="F10" s="8" t="s">
        <v>115</v>
      </c>
      <c r="G10" s="8" t="s">
        <v>116</v>
      </c>
      <c r="H10" s="9" t="s">
        <v>107</v>
      </c>
      <c r="I10" s="9" t="n">
        <v>3</v>
      </c>
      <c r="J10" s="9" t="n">
        <v>1</v>
      </c>
    </row>
    <row r="11" customFormat="false" ht="55.5" hidden="false" customHeight="true" outlineLevel="0" collapsed="false">
      <c r="A11" s="4" t="s">
        <v>117</v>
      </c>
      <c r="B11" s="6" t="s">
        <v>8</v>
      </c>
      <c r="C11" s="6" t="s">
        <v>38</v>
      </c>
      <c r="D11" s="5" t="s">
        <v>42</v>
      </c>
      <c r="E11" s="5" t="s">
        <v>118</v>
      </c>
      <c r="F11" s="5" t="s">
        <v>119</v>
      </c>
      <c r="G11" s="5" t="s">
        <v>120</v>
      </c>
      <c r="H11" s="6" t="s">
        <v>121</v>
      </c>
      <c r="I11" s="6" t="n">
        <v>2</v>
      </c>
      <c r="J11" s="6" t="n">
        <v>3</v>
      </c>
    </row>
    <row r="12" customFormat="false" ht="55.5" hidden="false" customHeight="true" outlineLevel="0" collapsed="false">
      <c r="A12" s="7" t="s">
        <v>122</v>
      </c>
      <c r="B12" s="9" t="s">
        <v>12</v>
      </c>
      <c r="C12" s="9" t="s">
        <v>40</v>
      </c>
      <c r="D12" s="8" t="s">
        <v>42</v>
      </c>
      <c r="E12" s="8" t="s">
        <v>123</v>
      </c>
      <c r="F12" s="8" t="s">
        <v>124</v>
      </c>
      <c r="G12" s="8" t="s">
        <v>125</v>
      </c>
      <c r="H12" s="9" t="s">
        <v>92</v>
      </c>
      <c r="I12" s="9" t="n">
        <v>5</v>
      </c>
      <c r="J12" s="9" t="n">
        <v>3</v>
      </c>
    </row>
    <row r="13" customFormat="false" ht="55.5" hidden="false" customHeight="true" outlineLevel="0" collapsed="false">
      <c r="A13" s="4" t="s">
        <v>126</v>
      </c>
      <c r="B13" s="6" t="s">
        <v>12</v>
      </c>
      <c r="C13" s="6" t="s">
        <v>40</v>
      </c>
      <c r="D13" s="5" t="s">
        <v>42</v>
      </c>
      <c r="E13" s="5" t="s">
        <v>127</v>
      </c>
      <c r="F13" s="5" t="s">
        <v>128</v>
      </c>
      <c r="G13" s="5" t="s">
        <v>129</v>
      </c>
      <c r="H13" s="6" t="s">
        <v>92</v>
      </c>
      <c r="I13" s="6" t="n">
        <v>3</v>
      </c>
      <c r="J13" s="6" t="n">
        <v>3</v>
      </c>
    </row>
    <row r="14" customFormat="false" ht="55.5" hidden="false" customHeight="true" outlineLevel="0" collapsed="false">
      <c r="A14" s="7" t="s">
        <v>130</v>
      </c>
      <c r="B14" s="9" t="s">
        <v>12</v>
      </c>
      <c r="C14" s="9" t="s">
        <v>40</v>
      </c>
      <c r="D14" s="8" t="s">
        <v>42</v>
      </c>
      <c r="E14" s="8" t="s">
        <v>131</v>
      </c>
      <c r="F14" s="8" t="s">
        <v>132</v>
      </c>
      <c r="G14" s="8" t="s">
        <v>133</v>
      </c>
      <c r="H14" s="9" t="s">
        <v>107</v>
      </c>
      <c r="I14" s="9" t="n">
        <v>3</v>
      </c>
      <c r="J14" s="9" t="n">
        <v>3</v>
      </c>
    </row>
    <row r="15" customFormat="false" ht="55.5" hidden="false" customHeight="true" outlineLevel="0" collapsed="false">
      <c r="A15" s="4" t="s">
        <v>134</v>
      </c>
      <c r="B15" s="6" t="s">
        <v>12</v>
      </c>
      <c r="C15" s="6" t="s">
        <v>44</v>
      </c>
      <c r="D15" s="5" t="s">
        <v>42</v>
      </c>
      <c r="E15" s="5" t="s">
        <v>135</v>
      </c>
      <c r="F15" s="5" t="s">
        <v>136</v>
      </c>
      <c r="G15" s="5" t="s">
        <v>137</v>
      </c>
      <c r="H15" s="6" t="s">
        <v>92</v>
      </c>
      <c r="I15" s="6" t="n">
        <v>8</v>
      </c>
      <c r="J15" s="6" t="n">
        <v>2</v>
      </c>
    </row>
    <row r="16" customFormat="false" ht="55.5" hidden="false" customHeight="true" outlineLevel="0" collapsed="false">
      <c r="A16" s="7" t="s">
        <v>138</v>
      </c>
      <c r="B16" s="9" t="s">
        <v>12</v>
      </c>
      <c r="C16" s="9" t="s">
        <v>44</v>
      </c>
      <c r="D16" s="8" t="s">
        <v>42</v>
      </c>
      <c r="E16" s="8" t="s">
        <v>139</v>
      </c>
      <c r="F16" s="8" t="s">
        <v>140</v>
      </c>
      <c r="G16" s="8" t="s">
        <v>141</v>
      </c>
      <c r="H16" s="9" t="s">
        <v>107</v>
      </c>
      <c r="I16" s="9" t="n">
        <v>3</v>
      </c>
      <c r="J16" s="9" t="n">
        <v>3</v>
      </c>
    </row>
    <row r="17" customFormat="false" ht="55.5" hidden="false" customHeight="true" outlineLevel="0" collapsed="false">
      <c r="A17" s="4" t="s">
        <v>142</v>
      </c>
      <c r="B17" s="6" t="s">
        <v>12</v>
      </c>
      <c r="C17" s="6" t="s">
        <v>44</v>
      </c>
      <c r="D17" s="5" t="s">
        <v>42</v>
      </c>
      <c r="E17" s="5" t="s">
        <v>143</v>
      </c>
      <c r="F17" s="5" t="s">
        <v>144</v>
      </c>
      <c r="G17" s="5" t="s">
        <v>145</v>
      </c>
      <c r="H17" s="6" t="s">
        <v>107</v>
      </c>
      <c r="I17" s="6" t="n">
        <v>3</v>
      </c>
      <c r="J17" s="6" t="n">
        <v>4</v>
      </c>
    </row>
    <row r="18" customFormat="false" ht="55.5" hidden="false" customHeight="true" outlineLevel="0" collapsed="false">
      <c r="A18" s="7" t="s">
        <v>146</v>
      </c>
      <c r="B18" s="9" t="s">
        <v>12</v>
      </c>
      <c r="C18" s="9" t="s">
        <v>47</v>
      </c>
      <c r="D18" s="8" t="s">
        <v>42</v>
      </c>
      <c r="E18" s="8" t="s">
        <v>147</v>
      </c>
      <c r="F18" s="8" t="s">
        <v>148</v>
      </c>
      <c r="G18" s="8" t="s">
        <v>149</v>
      </c>
      <c r="H18" s="9" t="s">
        <v>92</v>
      </c>
      <c r="I18" s="9" t="n">
        <v>5</v>
      </c>
      <c r="J18" s="9" t="n">
        <v>2</v>
      </c>
    </row>
    <row r="19" customFormat="false" ht="55.5" hidden="false" customHeight="true" outlineLevel="0" collapsed="false">
      <c r="A19" s="4" t="s">
        <v>150</v>
      </c>
      <c r="B19" s="6" t="s">
        <v>12</v>
      </c>
      <c r="C19" s="6" t="s">
        <v>47</v>
      </c>
      <c r="D19" s="5" t="s">
        <v>42</v>
      </c>
      <c r="E19" s="5" t="s">
        <v>151</v>
      </c>
      <c r="F19" s="5" t="s">
        <v>152</v>
      </c>
      <c r="G19" s="5" t="s">
        <v>153</v>
      </c>
      <c r="H19" s="6" t="s">
        <v>107</v>
      </c>
      <c r="I19" s="6" t="n">
        <v>3</v>
      </c>
      <c r="J19" s="6" t="n">
        <v>3</v>
      </c>
    </row>
    <row r="20" customFormat="false" ht="55.5" hidden="false" customHeight="true" outlineLevel="0" collapsed="false">
      <c r="A20" s="7" t="s">
        <v>154</v>
      </c>
      <c r="B20" s="9" t="s">
        <v>12</v>
      </c>
      <c r="C20" s="9" t="s">
        <v>47</v>
      </c>
      <c r="D20" s="8" t="s">
        <v>155</v>
      </c>
      <c r="E20" s="8" t="s">
        <v>156</v>
      </c>
      <c r="F20" s="8" t="s">
        <v>157</v>
      </c>
      <c r="G20" s="8" t="s">
        <v>158</v>
      </c>
      <c r="H20" s="9" t="s">
        <v>92</v>
      </c>
      <c r="I20" s="9" t="n">
        <v>5</v>
      </c>
      <c r="J20" s="9" t="n">
        <v>2</v>
      </c>
    </row>
    <row r="21" customFormat="false" ht="55.5" hidden="false" customHeight="true" outlineLevel="0" collapsed="false">
      <c r="A21" s="4" t="s">
        <v>159</v>
      </c>
      <c r="B21" s="6" t="s">
        <v>16</v>
      </c>
      <c r="C21" s="6" t="s">
        <v>50</v>
      </c>
      <c r="D21" s="5" t="s">
        <v>42</v>
      </c>
      <c r="E21" s="5" t="s">
        <v>160</v>
      </c>
      <c r="F21" s="5" t="s">
        <v>161</v>
      </c>
      <c r="G21" s="5" t="s">
        <v>162</v>
      </c>
      <c r="H21" s="6" t="s">
        <v>92</v>
      </c>
      <c r="I21" s="6" t="n">
        <v>5</v>
      </c>
      <c r="J21" s="6" t="n">
        <v>4</v>
      </c>
    </row>
    <row r="22" customFormat="false" ht="55.5" hidden="false" customHeight="true" outlineLevel="0" collapsed="false">
      <c r="A22" s="7" t="s">
        <v>163</v>
      </c>
      <c r="B22" s="9" t="s">
        <v>16</v>
      </c>
      <c r="C22" s="9" t="s">
        <v>50</v>
      </c>
      <c r="D22" s="8" t="s">
        <v>42</v>
      </c>
      <c r="E22" s="8" t="s">
        <v>164</v>
      </c>
      <c r="F22" s="8" t="s">
        <v>165</v>
      </c>
      <c r="G22" s="8" t="s">
        <v>166</v>
      </c>
      <c r="H22" s="9" t="s">
        <v>92</v>
      </c>
      <c r="I22" s="9" t="n">
        <v>8</v>
      </c>
      <c r="J22" s="9" t="n">
        <v>4</v>
      </c>
    </row>
    <row r="23" customFormat="false" ht="55.5" hidden="false" customHeight="true" outlineLevel="0" collapsed="false">
      <c r="A23" s="4" t="s">
        <v>167</v>
      </c>
      <c r="B23" s="6" t="s">
        <v>16</v>
      </c>
      <c r="C23" s="6" t="s">
        <v>50</v>
      </c>
      <c r="D23" s="5" t="s">
        <v>42</v>
      </c>
      <c r="E23" s="5" t="s">
        <v>168</v>
      </c>
      <c r="F23" s="5" t="s">
        <v>169</v>
      </c>
      <c r="G23" s="5" t="s">
        <v>170</v>
      </c>
      <c r="H23" s="6" t="s">
        <v>92</v>
      </c>
      <c r="I23" s="6" t="n">
        <v>3</v>
      </c>
      <c r="J23" s="6" t="n">
        <v>4</v>
      </c>
    </row>
    <row r="24" customFormat="false" ht="55.5" hidden="false" customHeight="true" outlineLevel="0" collapsed="false">
      <c r="A24" s="7" t="s">
        <v>171</v>
      </c>
      <c r="B24" s="9" t="s">
        <v>12</v>
      </c>
      <c r="C24" s="9" t="s">
        <v>54</v>
      </c>
      <c r="D24" s="8" t="s">
        <v>42</v>
      </c>
      <c r="E24" s="8" t="s">
        <v>172</v>
      </c>
      <c r="F24" s="8" t="s">
        <v>173</v>
      </c>
      <c r="G24" s="8" t="s">
        <v>174</v>
      </c>
      <c r="H24" s="9" t="s">
        <v>107</v>
      </c>
      <c r="I24" s="9" t="n">
        <v>3</v>
      </c>
      <c r="J24" s="9" t="n">
        <v>4</v>
      </c>
    </row>
    <row r="25" customFormat="false" ht="55.5" hidden="false" customHeight="true" outlineLevel="0" collapsed="false">
      <c r="A25" s="4" t="s">
        <v>175</v>
      </c>
      <c r="B25" s="6" t="s">
        <v>12</v>
      </c>
      <c r="C25" s="6" t="s">
        <v>54</v>
      </c>
      <c r="D25" s="5" t="s">
        <v>42</v>
      </c>
      <c r="E25" s="5" t="s">
        <v>176</v>
      </c>
      <c r="F25" s="5" t="s">
        <v>177</v>
      </c>
      <c r="G25" s="5" t="s">
        <v>178</v>
      </c>
      <c r="H25" s="6" t="s">
        <v>121</v>
      </c>
      <c r="I25" s="6" t="n">
        <v>2</v>
      </c>
      <c r="J25" s="6" t="n">
        <v>3</v>
      </c>
    </row>
    <row r="26" customFormat="false" ht="55.5" hidden="false" customHeight="true" outlineLevel="0" collapsed="false">
      <c r="A26" s="7" t="s">
        <v>179</v>
      </c>
      <c r="B26" s="9" t="s">
        <v>16</v>
      </c>
      <c r="C26" s="9" t="s">
        <v>57</v>
      </c>
      <c r="D26" s="8" t="s">
        <v>59</v>
      </c>
      <c r="E26" s="8" t="s">
        <v>180</v>
      </c>
      <c r="F26" s="8" t="s">
        <v>181</v>
      </c>
      <c r="G26" s="8" t="s">
        <v>182</v>
      </c>
      <c r="H26" s="9" t="s">
        <v>92</v>
      </c>
      <c r="I26" s="9" t="n">
        <v>8</v>
      </c>
      <c r="J26" s="9" t="n">
        <v>5</v>
      </c>
    </row>
    <row r="27" customFormat="false" ht="55.5" hidden="false" customHeight="true" outlineLevel="0" collapsed="false">
      <c r="A27" s="4" t="s">
        <v>183</v>
      </c>
      <c r="B27" s="6" t="s">
        <v>16</v>
      </c>
      <c r="C27" s="6" t="s">
        <v>57</v>
      </c>
      <c r="D27" s="5" t="s">
        <v>155</v>
      </c>
      <c r="E27" s="5" t="s">
        <v>184</v>
      </c>
      <c r="F27" s="5" t="s">
        <v>185</v>
      </c>
      <c r="G27" s="5" t="s">
        <v>186</v>
      </c>
      <c r="H27" s="6" t="s">
        <v>92</v>
      </c>
      <c r="I27" s="6" t="n">
        <v>3</v>
      </c>
      <c r="J27" s="6" t="n">
        <v>5</v>
      </c>
    </row>
    <row r="28" customFormat="false" ht="55.5" hidden="false" customHeight="true" outlineLevel="0" collapsed="false">
      <c r="A28" s="7" t="s">
        <v>187</v>
      </c>
      <c r="B28" s="9" t="s">
        <v>16</v>
      </c>
      <c r="C28" s="9" t="s">
        <v>61</v>
      </c>
      <c r="D28" s="8" t="s">
        <v>42</v>
      </c>
      <c r="E28" s="8" t="s">
        <v>188</v>
      </c>
      <c r="F28" s="8" t="s">
        <v>189</v>
      </c>
      <c r="G28" s="8" t="s">
        <v>190</v>
      </c>
      <c r="H28" s="9" t="s">
        <v>92</v>
      </c>
      <c r="I28" s="9" t="n">
        <v>8</v>
      </c>
      <c r="J28" s="9" t="n">
        <v>5</v>
      </c>
    </row>
    <row r="29" customFormat="false" ht="55.5" hidden="false" customHeight="true" outlineLevel="0" collapsed="false">
      <c r="A29" s="4" t="s">
        <v>191</v>
      </c>
      <c r="B29" s="6" t="s">
        <v>16</v>
      </c>
      <c r="C29" s="6" t="s">
        <v>61</v>
      </c>
      <c r="D29" s="5" t="s">
        <v>155</v>
      </c>
      <c r="E29" s="5" t="s">
        <v>192</v>
      </c>
      <c r="F29" s="5" t="s">
        <v>193</v>
      </c>
      <c r="G29" s="5" t="s">
        <v>194</v>
      </c>
      <c r="H29" s="6" t="s">
        <v>121</v>
      </c>
      <c r="I29" s="6" t="n">
        <v>5</v>
      </c>
      <c r="J29" s="6" t="n">
        <v>7</v>
      </c>
    </row>
    <row r="30" customFormat="false" ht="55.5" hidden="false" customHeight="true" outlineLevel="0" collapsed="false">
      <c r="A30" s="7" t="s">
        <v>195</v>
      </c>
      <c r="B30" s="9" t="s">
        <v>16</v>
      </c>
      <c r="C30" s="9" t="s">
        <v>61</v>
      </c>
      <c r="D30" s="8" t="s">
        <v>155</v>
      </c>
      <c r="E30" s="8" t="s">
        <v>196</v>
      </c>
      <c r="F30" s="8" t="s">
        <v>197</v>
      </c>
      <c r="G30" s="8" t="s">
        <v>198</v>
      </c>
      <c r="H30" s="9" t="s">
        <v>92</v>
      </c>
      <c r="I30" s="9" t="n">
        <v>3</v>
      </c>
      <c r="J30" s="9" t="n">
        <v>5</v>
      </c>
    </row>
    <row r="31" customFormat="false" ht="55.5" hidden="false" customHeight="true" outlineLevel="0" collapsed="false">
      <c r="A31" s="4" t="s">
        <v>199</v>
      </c>
      <c r="B31" s="6" t="s">
        <v>20</v>
      </c>
      <c r="C31" s="6" t="s">
        <v>63</v>
      </c>
      <c r="D31" s="5" t="s">
        <v>65</v>
      </c>
      <c r="E31" s="5" t="s">
        <v>200</v>
      </c>
      <c r="F31" s="5" t="s">
        <v>201</v>
      </c>
      <c r="G31" s="5" t="s">
        <v>202</v>
      </c>
      <c r="H31" s="6" t="s">
        <v>92</v>
      </c>
      <c r="I31" s="6" t="n">
        <v>5</v>
      </c>
      <c r="J31" s="6" t="n">
        <v>6</v>
      </c>
    </row>
    <row r="32" customFormat="false" ht="55.5" hidden="false" customHeight="true" outlineLevel="0" collapsed="false">
      <c r="A32" s="7" t="s">
        <v>203</v>
      </c>
      <c r="B32" s="9" t="s">
        <v>20</v>
      </c>
      <c r="C32" s="9" t="s">
        <v>63</v>
      </c>
      <c r="D32" s="8" t="s">
        <v>65</v>
      </c>
      <c r="E32" s="8" t="s">
        <v>204</v>
      </c>
      <c r="F32" s="8" t="s">
        <v>205</v>
      </c>
      <c r="G32" s="8" t="s">
        <v>206</v>
      </c>
      <c r="H32" s="9" t="s">
        <v>107</v>
      </c>
      <c r="I32" s="9" t="n">
        <v>2</v>
      </c>
      <c r="J32" s="9" t="n">
        <v>6</v>
      </c>
    </row>
    <row r="33" customFormat="false" ht="55.5" hidden="false" customHeight="true" outlineLevel="0" collapsed="false">
      <c r="A33" s="4" t="s">
        <v>207</v>
      </c>
      <c r="B33" s="6" t="s">
        <v>20</v>
      </c>
      <c r="C33" s="6" t="s">
        <v>67</v>
      </c>
      <c r="D33" s="5" t="s">
        <v>65</v>
      </c>
      <c r="E33" s="5" t="s">
        <v>208</v>
      </c>
      <c r="F33" s="5" t="s">
        <v>209</v>
      </c>
      <c r="G33" s="5" t="s">
        <v>210</v>
      </c>
      <c r="H33" s="6" t="s">
        <v>92</v>
      </c>
      <c r="I33" s="6" t="n">
        <v>3</v>
      </c>
      <c r="J33" s="6" t="n">
        <v>1</v>
      </c>
    </row>
    <row r="34" customFormat="false" ht="55.5" hidden="false" customHeight="true" outlineLevel="0" collapsed="false">
      <c r="A34" s="7" t="s">
        <v>211</v>
      </c>
      <c r="B34" s="9" t="s">
        <v>20</v>
      </c>
      <c r="C34" s="9" t="s">
        <v>67</v>
      </c>
      <c r="D34" s="8" t="s">
        <v>65</v>
      </c>
      <c r="E34" s="8" t="s">
        <v>212</v>
      </c>
      <c r="F34" s="8" t="s">
        <v>213</v>
      </c>
      <c r="G34" s="8" t="s">
        <v>214</v>
      </c>
      <c r="H34" s="9" t="s">
        <v>92</v>
      </c>
      <c r="I34" s="9" t="n">
        <v>5</v>
      </c>
      <c r="J34" s="9" t="n">
        <v>1</v>
      </c>
    </row>
    <row r="35" customFormat="false" ht="55.5" hidden="false" customHeight="true" outlineLevel="0" collapsed="false">
      <c r="A35" s="4" t="s">
        <v>215</v>
      </c>
      <c r="B35" s="6" t="s">
        <v>20</v>
      </c>
      <c r="C35" s="6" t="s">
        <v>67</v>
      </c>
      <c r="D35" s="5" t="s">
        <v>65</v>
      </c>
      <c r="E35" s="5" t="s">
        <v>216</v>
      </c>
      <c r="F35" s="5" t="s">
        <v>217</v>
      </c>
      <c r="G35" s="5" t="s">
        <v>218</v>
      </c>
      <c r="H35" s="6" t="s">
        <v>92</v>
      </c>
      <c r="I35" s="6" t="n">
        <v>5</v>
      </c>
      <c r="J35" s="6" t="n">
        <v>6</v>
      </c>
    </row>
    <row r="36" customFormat="false" ht="55.5" hidden="false" customHeight="true" outlineLevel="0" collapsed="false">
      <c r="A36" s="7" t="s">
        <v>219</v>
      </c>
      <c r="B36" s="9" t="s">
        <v>24</v>
      </c>
      <c r="C36" s="9" t="s">
        <v>70</v>
      </c>
      <c r="D36" s="8" t="s">
        <v>65</v>
      </c>
      <c r="E36" s="8" t="s">
        <v>220</v>
      </c>
      <c r="F36" s="8" t="s">
        <v>221</v>
      </c>
      <c r="G36" s="8" t="s">
        <v>222</v>
      </c>
      <c r="H36" s="9" t="s">
        <v>92</v>
      </c>
      <c r="I36" s="9" t="n">
        <v>5</v>
      </c>
      <c r="J36" s="9" t="n">
        <v>6</v>
      </c>
    </row>
    <row r="37" customFormat="false" ht="55.5" hidden="false" customHeight="true" outlineLevel="0" collapsed="false">
      <c r="A37" s="4" t="s">
        <v>223</v>
      </c>
      <c r="B37" s="6" t="s">
        <v>24</v>
      </c>
      <c r="C37" s="6" t="s">
        <v>70</v>
      </c>
      <c r="D37" s="5" t="s">
        <v>65</v>
      </c>
      <c r="E37" s="5" t="s">
        <v>224</v>
      </c>
      <c r="F37" s="5" t="s">
        <v>225</v>
      </c>
      <c r="G37" s="5" t="s">
        <v>226</v>
      </c>
      <c r="H37" s="6" t="s">
        <v>92</v>
      </c>
      <c r="I37" s="6" t="n">
        <v>5</v>
      </c>
      <c r="J37" s="6" t="n">
        <v>6</v>
      </c>
    </row>
    <row r="38" customFormat="false" ht="55.5" hidden="false" customHeight="true" outlineLevel="0" collapsed="false">
      <c r="A38" s="7" t="s">
        <v>227</v>
      </c>
      <c r="B38" s="9" t="s">
        <v>24</v>
      </c>
      <c r="C38" s="9" t="s">
        <v>70</v>
      </c>
      <c r="D38" s="8" t="s">
        <v>65</v>
      </c>
      <c r="E38" s="8" t="s">
        <v>228</v>
      </c>
      <c r="F38" s="8" t="s">
        <v>229</v>
      </c>
      <c r="G38" s="8" t="s">
        <v>230</v>
      </c>
      <c r="H38" s="9" t="s">
        <v>121</v>
      </c>
      <c r="I38" s="9" t="n">
        <v>3</v>
      </c>
      <c r="J38" s="9" t="n">
        <v>7</v>
      </c>
    </row>
    <row r="39" customFormat="false" ht="55.5" hidden="false" customHeight="true" outlineLevel="0" collapsed="false">
      <c r="A39" s="4" t="s">
        <v>231</v>
      </c>
      <c r="B39" s="6" t="s">
        <v>24</v>
      </c>
      <c r="C39" s="6" t="s">
        <v>73</v>
      </c>
      <c r="D39" s="5" t="s">
        <v>75</v>
      </c>
      <c r="E39" s="5" t="s">
        <v>232</v>
      </c>
      <c r="F39" s="5" t="s">
        <v>233</v>
      </c>
      <c r="G39" s="5" t="s">
        <v>234</v>
      </c>
      <c r="H39" s="6" t="s">
        <v>92</v>
      </c>
      <c r="I39" s="6" t="n">
        <v>5</v>
      </c>
      <c r="J39" s="6" t="n">
        <v>7</v>
      </c>
    </row>
    <row r="40" customFormat="false" ht="55.5" hidden="false" customHeight="true" outlineLevel="0" collapsed="false">
      <c r="A40" s="7" t="s">
        <v>235</v>
      </c>
      <c r="B40" s="9" t="s">
        <v>24</v>
      </c>
      <c r="C40" s="9" t="s">
        <v>73</v>
      </c>
      <c r="D40" s="8" t="s">
        <v>75</v>
      </c>
      <c r="E40" s="8" t="s">
        <v>236</v>
      </c>
      <c r="F40" s="8" t="s">
        <v>237</v>
      </c>
      <c r="G40" s="8" t="s">
        <v>238</v>
      </c>
      <c r="H40" s="9" t="s">
        <v>92</v>
      </c>
      <c r="I40" s="9" t="n">
        <v>5</v>
      </c>
      <c r="J40" s="9" t="n">
        <v>7</v>
      </c>
    </row>
    <row r="41" customFormat="false" ht="55.5" hidden="false" customHeight="true" outlineLevel="0" collapsed="false">
      <c r="A41" s="4" t="s">
        <v>239</v>
      </c>
      <c r="B41" s="6" t="s">
        <v>24</v>
      </c>
      <c r="C41" s="6" t="s">
        <v>73</v>
      </c>
      <c r="D41" s="5" t="s">
        <v>75</v>
      </c>
      <c r="E41" s="5" t="s">
        <v>240</v>
      </c>
      <c r="F41" s="5" t="s">
        <v>241</v>
      </c>
      <c r="G41" s="5" t="s">
        <v>242</v>
      </c>
      <c r="H41" s="6" t="s">
        <v>121</v>
      </c>
      <c r="I41" s="6" t="n">
        <v>3</v>
      </c>
      <c r="J41" s="6" t="n">
        <v>7</v>
      </c>
    </row>
    <row r="42" customFormat="false" ht="15" hidden="false" customHeight="false" outlineLevel="0" collapsed="false">
      <c r="H42" s="10" t="s">
        <v>243</v>
      </c>
      <c r="I42" s="10" t="n">
        <f aca="false">SUM(I5:I41)</f>
        <v>149</v>
      </c>
    </row>
  </sheetData>
  <autoFilter ref="A4:J41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5" hidden="false" customHeight="true" outlineLevel="0" collapsed="false">
      <c r="A1" s="1" t="s">
        <v>244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245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86</v>
      </c>
      <c r="B4" s="3" t="s">
        <v>246</v>
      </c>
      <c r="C4" s="3" t="s">
        <v>247</v>
      </c>
      <c r="D4" s="3" t="s">
        <v>248</v>
      </c>
      <c r="E4" s="3" t="s">
        <v>85</v>
      </c>
      <c r="F4" s="3" t="s">
        <v>249</v>
      </c>
    </row>
    <row r="5" customFormat="false" ht="57.75" hidden="false" customHeight="true" outlineLevel="0" collapsed="false">
      <c r="A5" s="4" t="s">
        <v>250</v>
      </c>
      <c r="B5" s="6" t="s">
        <v>251</v>
      </c>
      <c r="C5" s="5" t="s">
        <v>252</v>
      </c>
      <c r="D5" s="5" t="s">
        <v>253</v>
      </c>
      <c r="E5" s="6" t="n">
        <f aca="false">SUMIF('Backlog HU'!J:J,0,'Backlog HU'!I:I)</f>
        <v>0</v>
      </c>
      <c r="F5" s="5"/>
    </row>
    <row r="6" customFormat="false" ht="57.75" hidden="false" customHeight="true" outlineLevel="0" collapsed="false">
      <c r="A6" s="7" t="s">
        <v>254</v>
      </c>
      <c r="B6" s="9" t="s">
        <v>255</v>
      </c>
      <c r="C6" s="8" t="s">
        <v>256</v>
      </c>
      <c r="D6" s="8" t="s">
        <v>257</v>
      </c>
      <c r="E6" s="9" t="n">
        <f aca="false">SUMIF('Backlog HU'!J:J,1,'Backlog HU'!I:I)</f>
        <v>20</v>
      </c>
      <c r="F6" s="8" t="s">
        <v>258</v>
      </c>
    </row>
    <row r="7" customFormat="false" ht="57.75" hidden="false" customHeight="true" outlineLevel="0" collapsed="false">
      <c r="A7" s="4" t="s">
        <v>259</v>
      </c>
      <c r="B7" s="6" t="s">
        <v>260</v>
      </c>
      <c r="C7" s="5" t="s">
        <v>261</v>
      </c>
      <c r="D7" s="5" t="s">
        <v>262</v>
      </c>
      <c r="E7" s="6" t="n">
        <f aca="false">SUMIF('Backlog HU'!J:J,2,'Backlog HU'!I:I)</f>
        <v>21</v>
      </c>
      <c r="F7" s="5"/>
    </row>
    <row r="8" customFormat="false" ht="57.75" hidden="false" customHeight="true" outlineLevel="0" collapsed="false">
      <c r="A8" s="7" t="s">
        <v>263</v>
      </c>
      <c r="B8" s="9" t="s">
        <v>264</v>
      </c>
      <c r="C8" s="8" t="s">
        <v>265</v>
      </c>
      <c r="D8" s="8" t="s">
        <v>266</v>
      </c>
      <c r="E8" s="9" t="n">
        <f aca="false">SUMIF('Backlog HU'!J:J,3,'Backlog HU'!I:I)</f>
        <v>21</v>
      </c>
      <c r="F8" s="8"/>
    </row>
    <row r="9" customFormat="false" ht="57.75" hidden="false" customHeight="true" outlineLevel="0" collapsed="false">
      <c r="A9" s="4" t="s">
        <v>267</v>
      </c>
      <c r="B9" s="6" t="s">
        <v>268</v>
      </c>
      <c r="C9" s="5" t="s">
        <v>269</v>
      </c>
      <c r="D9" s="5" t="s">
        <v>270</v>
      </c>
      <c r="E9" s="6" t="n">
        <f aca="false">SUMIF('Backlog HU'!J:J,4,'Backlog HU'!I:I)</f>
        <v>22</v>
      </c>
      <c r="F9" s="5"/>
    </row>
    <row r="10" customFormat="false" ht="57.75" hidden="false" customHeight="true" outlineLevel="0" collapsed="false">
      <c r="A10" s="7" t="s">
        <v>271</v>
      </c>
      <c r="B10" s="9" t="s">
        <v>272</v>
      </c>
      <c r="C10" s="8" t="s">
        <v>273</v>
      </c>
      <c r="D10" s="8" t="s">
        <v>274</v>
      </c>
      <c r="E10" s="9" t="n">
        <f aca="false">SUMIF('Backlog HU'!J:J,5,'Backlog HU'!I:I)</f>
        <v>22</v>
      </c>
      <c r="F10" s="8"/>
    </row>
    <row r="11" customFormat="false" ht="57.75" hidden="false" customHeight="true" outlineLevel="0" collapsed="false">
      <c r="A11" s="4" t="s">
        <v>275</v>
      </c>
      <c r="B11" s="6" t="s">
        <v>276</v>
      </c>
      <c r="C11" s="5" t="s">
        <v>277</v>
      </c>
      <c r="D11" s="5" t="s">
        <v>278</v>
      </c>
      <c r="E11" s="6" t="n">
        <f aca="false">SUMIF('Backlog HU'!J:J,6,'Backlog HU'!I:I)</f>
        <v>22</v>
      </c>
      <c r="F11" s="5"/>
    </row>
    <row r="12" customFormat="false" ht="57.75" hidden="false" customHeight="true" outlineLevel="0" collapsed="false">
      <c r="A12" s="7" t="s">
        <v>279</v>
      </c>
      <c r="B12" s="9" t="s">
        <v>280</v>
      </c>
      <c r="C12" s="8" t="s">
        <v>281</v>
      </c>
      <c r="D12" s="8" t="s">
        <v>282</v>
      </c>
      <c r="E12" s="9" t="n">
        <f aca="false">SUMIF('Backlog HU'!J:J,7,'Backlog HU'!I:I)</f>
        <v>21</v>
      </c>
      <c r="F12" s="8" t="s">
        <v>283</v>
      </c>
    </row>
    <row r="13" customFormat="false" ht="15" hidden="false" customHeight="false" outlineLevel="0" collapsed="false">
      <c r="D13" s="10" t="s">
        <v>28</v>
      </c>
      <c r="E13" s="10" t="n">
        <f aca="false">SUM(E5:E12)</f>
        <v>149</v>
      </c>
    </row>
    <row r="15" customFormat="false" ht="15" hidden="false" customHeight="false" outlineLevel="0" collapsed="false">
      <c r="A15" s="11" t="s">
        <v>284</v>
      </c>
    </row>
    <row r="16" customFormat="false" ht="25.5" hidden="false" customHeight="true" outlineLevel="0" collapsed="false">
      <c r="A16" s="12" t="s">
        <v>285</v>
      </c>
      <c r="B16" s="12"/>
      <c r="C16" s="12"/>
      <c r="D16" s="12"/>
      <c r="E16" s="12"/>
      <c r="F16" s="12"/>
    </row>
    <row r="17" customFormat="false" ht="25.5" hidden="false" customHeight="true" outlineLevel="0" collapsed="false">
      <c r="A17" s="12" t="s">
        <v>286</v>
      </c>
      <c r="B17" s="12"/>
      <c r="C17" s="12"/>
      <c r="D17" s="12"/>
      <c r="E17" s="12"/>
      <c r="F17" s="12"/>
    </row>
    <row r="18" customFormat="false" ht="25.5" hidden="false" customHeight="true" outlineLevel="0" collapsed="false">
      <c r="A18" s="12" t="s">
        <v>287</v>
      </c>
      <c r="B18" s="12"/>
      <c r="C18" s="12"/>
      <c r="D18" s="12"/>
      <c r="E18" s="12"/>
      <c r="F18" s="12"/>
    </row>
    <row r="19" customFormat="false" ht="25.5" hidden="false" customHeight="true" outlineLevel="0" collapsed="false">
      <c r="A19" s="12" t="s">
        <v>288</v>
      </c>
      <c r="B19" s="12"/>
      <c r="C19" s="12"/>
      <c r="D19" s="12"/>
      <c r="E19" s="12"/>
      <c r="F19" s="12"/>
    </row>
    <row r="20" customFormat="false" ht="25.5" hidden="false" customHeight="true" outlineLevel="0" collapsed="false">
      <c r="A20" s="12" t="s">
        <v>289</v>
      </c>
      <c r="B20" s="12"/>
      <c r="C20" s="12"/>
      <c r="D20" s="12"/>
      <c r="E20" s="12"/>
      <c r="F20" s="12"/>
    </row>
  </sheetData>
  <mergeCells count="7">
    <mergeCell ref="A1:F1"/>
    <mergeCell ref="A2:F2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2026-09-12T04:27:47Z</dcterms:created>
  <dc:creator>openpyxl</dc:creator>
  <dc:description/>
  <dc:language>en-US</dc:language>
  <cp:lastModifiedBy/>
  <dcterms:modified xsi:type="dcterms:W3CDTF">2026-09-12T04:27:47Z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